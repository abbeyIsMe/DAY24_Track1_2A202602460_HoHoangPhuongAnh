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Đầu vào" sheetId="2" r:id="rId6"/>
    <sheet state="visible" name="A_Tài chính căn bản" sheetId="3" r:id="rId7"/>
    <sheet state="visible" name="1_Chi phí mỗi việc" sheetId="4" r:id="rId8"/>
    <sheet state="visible" name="2_Định giá" sheetId="5" r:id="rId9"/>
    <sheet state="visible" name="3_Giả định" sheetId="6" r:id="rId10"/>
    <sheet state="visible" name="4_Chỉ số mỗi khách" sheetId="7" r:id="rId11"/>
    <sheet state="visible" name="5_Dòng tiền &amp; hiệu quả" sheetId="8" r:id="rId12"/>
    <sheet state="visible" name="6_Hiệu quả nội bộ" sheetId="9" r:id="rId13"/>
    <sheet state="visible" name="7_Quyết định" sheetId="10" r:id="rId14"/>
    <sheet state="visible" name="8_Thang điểm" sheetId="11" r:id="rId15"/>
    <sheet state="visible" name="9_Số tham khảo" sheetId="12" r:id="rId16"/>
  </sheets>
  <definedNames/>
  <calcPr/>
</workbook>
</file>

<file path=xl/sharedStrings.xml><?xml version="1.0" encoding="utf-8"?>
<sst xmlns="http://schemas.openxmlformats.org/spreadsheetml/2006/main" count="778" uniqueCount="660">
  <si>
    <t>1 · Chi phí để AI làm xong 1 việc</t>
  </si>
  <si>
    <t>CS9 · Kinh tế sản phẩm AI: chi phí, định giá, hiệu quả đầu tư — File thực hành</t>
  </si>
  <si>
    <t>A · Bài tập tài chính doanh nghiệp căn bản: lập ba báo cáo tài chính</t>
  </si>
  <si>
    <t>0 · Nhiệm vụ 0: gom đầu vào — có thì tận dụng, chưa có thì làm mới (5 phút)</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</si>
  <si>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</si>
  <si>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Đánh dấu nhóm đã có hay chưa. Cả hai lối đi đều đủ điểm. Dùng số thật từ buổi trước được cộng tối đa 10 điểm.</t>
  </si>
  <si>
    <t>'Việc' = 1 đơn vị công việc khách nhận được, ví dụ: 1 hội thoại được trả lời, 1 hồ sơ được đọc, 1 cuộc gọi.</t>
  </si>
  <si>
    <t>Ô tự kiểm tra: "Đạt" là ổn. "Xem lại", "Chưa đủ sốc" là câu hỏi để nhóm soát: sửa nếu nhập sai; nếu số đúng thì giữ nguyên và giải thích ở trang 7. Không chỉnh giả định chỉ để được "Đạt".</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</si>
  <si>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</si>
  <si>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Công ty Trợ Lý Xanh bán trợ lý AI trả lời tin nhắn. Dưới đây là mọi giao dịch của 3 tháng đầu. Lập báo cáo kết quả kinh doanh, bảng cân đối kế toán và báo cáo lưu chuyển tiền tệ.</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</si>
  <si>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</si>
  <si>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Có thể đã có từ buổi trước</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</si>
  <si>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</si>
  <si>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Hạng mục</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</si>
  <si>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</si>
  <si>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Nhóm đã có chưa?</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</si>
  <si>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</si>
  <si>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Nếu ĐÃ CÓ: dùng ở đâu</t>
  </si>
  <si>
    <t>Nếu CHƯA CÓ: làm gì</t>
  </si>
  <si>
    <t>Ghi chú (tên file, đường dẫn)</t>
  </si>
  <si>
    <t>Giá trị</t>
  </si>
  <si>
    <t>Giá token: tra bảng giá chính thức của nhà cung cấp vào ngày làm bài, ghi tên mô hình và ngày tra. Tỷ giá: ghi nguồn và ngày. Trang 9 có sẵn một số số liệu đã kiểm chứng.</t>
  </si>
  <si>
    <t>Đơn vị</t>
  </si>
  <si>
    <t>Nguồn / lý do</t>
  </si>
  <si>
    <t>Gợi ý cách lấy số · bản mẫu</t>
  </si>
  <si>
    <t>Kịch bản xấu phải là cú sốc thật: tỷ lệ rời bỏ và chi phí có một khách tối thiểu gấp 1,5 lần kịch bản cơ sở (trang 3 tự kiểm tra).</t>
  </si>
  <si>
    <t>Mô tả 1 việc (Ngày 22 gọi là job)</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</si>
  <si>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</si>
  <si>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ĐỀ BÀI · Giao dịch 3 tháng đầu</t>
  </si>
  <si>
    <t>Mô hình hiệu quả đầu tư 3–6–12 tháng và tài liệu yêu cầu sản phẩm (Phase 1, Ngày 6)</t>
  </si>
  <si>
    <t>Tên file nộp: [Nhom]_CS9.xlsx · Nộp lên VLearn khi hết Nhiệm vụ 4.</t>
  </si>
  <si>
    <t>AI nhận thông tin sản phẩm hoặc đánh giá của khách mua + giọng văn gian hàng, trả ra 1 mô tả sản phẩm hoặc 1 câu trả lời đánh giá; người bán bấm duyệt</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</si>
  <si>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</si>
  <si>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</si>
  <si>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STT</t>
  </si>
  <si>
    <t>Giao dịch</t>
  </si>
  <si>
    <t>Theo Đề bài 3 (ShopViết)</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</si>
  <si>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</si>
  <si>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Tháng 1</t>
  </si>
  <si>
    <t>Tháng 2</t>
  </si>
  <si>
    <t>Tháng 3</t>
  </si>
  <si>
    <t>Ghi chú</t>
  </si>
  <si>
    <t>Bài 1 · Vào báo cáo kết quả? (Có / Không · vì sao)</t>
  </si>
  <si>
    <t>Một câu: AI nhận gì, trả ra gì cho khách. Bản mẫu: trả lời 1 hội thoại Zalo của khách cho cửa hàng nhỏ.</t>
  </si>
  <si>
    <t>Chưa</t>
  </si>
  <si>
    <t>Số lần gọi mô hình / việc</t>
  </si>
  <si>
    <t>Làm phiên bản 2; so sánh con số cũ và mới ở trang 3–5</t>
  </si>
  <si>
    <t>Dựng mới trên file này</t>
  </si>
  <si>
    <t>Bảng giám sát agent: token, chi phí theo ngày (Ngày 13)</t>
  </si>
  <si>
    <t>Chủ sở hữu góp vốn bằng tiền</t>
  </si>
  <si>
    <t>lần</t>
  </si>
  <si>
    <t>Lấy số lần gọi AI và token thật ở trang 1</t>
  </si>
  <si>
    <t>Theo Đề bài 3: 1 lần gọi viết xong mô tả hoặc trả lời</t>
  </si>
  <si>
    <t>Chạy thử 5 câu hỏi, xem số token ở trang quản lý API (cách làm: trang 1, cột Gợi ý)</t>
  </si>
  <si>
    <t>Đơn vị tiền: trang A tính bằng TRIỆU đồng; từ trang 1 trở đi tính bằng ĐỒNG, riêng bảng độ nhạy ở trang 5 (dòng 56–68) ghi bằng triệu đồng.</t>
  </si>
  <si>
    <t>Đếm số bước phải gọi mô hình cho 1 việc: hiểu câu hỏi, tra cứu, soạn trả lời, tự kiểm tra. Bản mẫu: 2.</t>
  </si>
  <si>
    <t>Báo cáo đánh giá chất lượng (Ngày 14 hoặc buổi đánh giá Track 1)</t>
  </si>
  <si>
    <t>Token đầu vào / lần gọi</t>
  </si>
  <si>
    <t>Chú thích màu:</t>
  </si>
  <si>
    <t>Tỷ lệ chưa đạt → tỷ lệ cần người kiểm tra ở trang 1</t>
  </si>
  <si>
    <t>Giả định 10–20%, ghi lý do</t>
  </si>
  <si>
    <t>Phiếu bài tập 1 và bài về nhà một trang (Ngày 22)</t>
  </si>
  <si>
    <t>Ô điền giả định (không khóa)</t>
  </si>
  <si>
    <t>Cách tính tiền, chi phí mỗi việc, giá đề xuất: chép vào trang 1–2 rồi soát lại</t>
  </si>
  <si>
    <t>token</t>
  </si>
  <si>
    <t>Làm nhanh ở Nhiệm vụ 1–2 theo bản mẫu (cột Gợi ý ở trang 1–2)</t>
  </si>
  <si>
    <t>Theo Đề bài 3: thông tin sản phẩm + giọng văn gian hàng</t>
  </si>
  <si>
    <t>Bảng theo dõi chỉ số và luật xử lý (Ngày 23)</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</si>
  <si>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</si>
  <si>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</si>
  <si>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Không · góp vốn là vốn chủ sở hữu, không phải doanh thu</t>
  </si>
  <si>
    <t>Điền mức cảnh báo tự tính (trang 5, dòng 72–77) vào cột [Ttự tính]</t>
  </si>
  <si>
    <t>Theo Đề bài 3</t>
  </si>
  <si>
    <t>Ô công thức (tự tính, đã khóa)</t>
  </si>
  <si>
    <t>Độ dài câu trả lời, đếm bằng cách chạy thử. Bản mẫu: 300 (1–3 câu ngắn).</t>
  </si>
  <si>
    <t>Vay ngân hàng, gốc trả sau 3 năm</t>
  </si>
  <si>
    <t>Giá token đầu vào</t>
  </si>
  <si>
    <t>Dùng bảng mức cảnh báo ở trang 5 làm khung</t>
  </si>
  <si>
    <t>Sản phẩm của nhóm từ các buổi trước</t>
  </si>
  <si>
    <t>USD / 1 triệu token</t>
  </si>
  <si>
    <t>Lãi 12%/năm, trả cuối mỗi tháng</t>
  </si>
  <si>
    <t>Chữ xám nghiêng ở cột Gợi ý: cách lấy số và giá trị bản mẫu (không cần điền)</t>
  </si>
  <si>
    <t>Không (gốc vay) · gốc là nợ phải trả; chỉ lãi 3 triệu/tháng vào báo cáo kết quả</t>
  </si>
  <si>
    <t>Mua máy chủ, trả tiền ngay</t>
  </si>
  <si>
    <t>Dùng xuyên suốt</t>
  </si>
  <si>
    <r>
      <rPr>
        <rFont val="Calibri"/>
        <color theme="1"/>
        <sz val="11.0"/>
      </rPr>
      <t xml:space="preserve">[NGÀNH] OpenAI GPT-6 Luna, mức Standard: </t>
    </r>
    <r>
      <rPr>
        <rFont val="Calibri"/>
        <color rgb="FF1155CC"/>
        <sz val="11.0"/>
        <u/>
      </rPr>
      <t>https://developers.openai.com/api/docs/pricing</t>
    </r>
    <r>
      <rPr>
        <rFont val="Calibri"/>
        <color theme="1"/>
        <sz val="11.0"/>
      </rPr>
      <t xml:space="preserve"> (trang 9, tra ngày 12/10/2026)</t>
    </r>
  </si>
  <si>
    <t>Nhóm ngồi chung bàn nhưng khác dự án: chọn 1 trong 3 đề bài giả định trong file CS9_DeBai_GiaDinh.pdf (đề cho sẵn số liệu trang 1–3; ghi tên đề ở cột Ghi chú)</t>
  </si>
  <si>
    <t>Dùng 36 tháng, khấu hao đều</t>
  </si>
  <si>
    <t>Không (tiền mua) · là tài sản; chỉ khấu hao 10 triệu/tháng vào báo cáo kết quả</t>
  </si>
  <si>
    <t>Đề bài 3 – ShopViết: trợ lý viết mô tả sản phẩm và trả lời đánh giá cho người bán trên sàn (CS9_DeBai_GiaDinh.pdf)</t>
  </si>
  <si>
    <t>Bán gói tháng cho cửa hàng nhỏ, thu tiền ngay</t>
  </si>
  <si>
    <t>Có · doanh thu ghi khi đã cung cấp dịch vụ trong tháng</t>
  </si>
  <si>
    <t>Số đầu vào nhóm đã có</t>
  </si>
  <si>
    <t>Ngân hàng X trả trước gói 12 tháng</t>
  </si>
  <si>
    <t>Dịch vụ chạy đều từ tháng 1</t>
  </si>
  <si>
    <t>Có một phần · 20 triệu/tháng theo dịch vụ đã cung cấp; phần còn lại là doanh thu chưa thực hiện</t>
  </si>
  <si>
    <t>Dự án triển khai cho công ty Y được nghiệm thu</t>
  </si>
  <si>
    <t>Y trả tiền sau 60 ngày (tháng 4)</t>
  </si>
  <si>
    <t>Có · ghi doanh thu tháng 2 khi nghiệm thu, dù tháng 4 mới thu tiền</t>
  </si>
  <si>
    <t>Chi phí gọi AI phát sinh trong tháng</t>
  </si>
  <si>
    <t>Nhà cung cấp cho trả vào tháng sau</t>
  </si>
  <si>
    <t>Có · giá vốn ghi theo tháng phát sinh, dù trả tiền tháng sau</t>
  </si>
  <si>
    <t>Người kiểm tra câu trả lời, trả trong tháng</t>
  </si>
  <si>
    <t>Có · giá vốn phục vụ từng việc</t>
  </si>
  <si>
    <t>Lương đội phát triển và bán hàng, trả trong tháng</t>
  </si>
  <si>
    <t>Có · chi phí hoạt động</t>
  </si>
  <si>
    <t>Chọn 1 mô hình ở trang 9 hoặc trang giá chính thức. Ghi tên mô hình, ngày tra, đường dẫn ở cột D. Bản mẫu: 0,4 USD (mô hình nhỏ giả định; nhóm thay bằng giá mô hình thật).</t>
  </si>
  <si>
    <t>Thuê văn phòng, trả trong tháng</t>
  </si>
  <si>
    <t>Giá token đầu ra</t>
  </si>
  <si>
    <t>Điểm thưởng gợi ý (tối đa 10): 2 điểm cho mỗi đầu vào đã có và thật sự được dùng trong bài</t>
  </si>
  <si>
    <t>[NGÀNH] OpenAI GPT-6 Luna, như dòng trên (tra ngày 12/10/2026)</t>
  </si>
  <si>
    <t>Thuế thu nhập doanh nghiệp</t>
  </si>
  <si>
    <t>Như dòng 9. Giá đầu ra thường cao hơn đầu vào nhiều lần. Bản mẫu: 1,6 USD.</t>
  </si>
  <si>
    <t>Tỷ giá</t>
  </si>
  <si>
    <t>Lỗ lũy kế nên chưa phát sinh thuế</t>
  </si>
  <si>
    <t>VND / USD</t>
  </si>
  <si>
    <t>Có · dòng thuế, bằng 0 vì đang lỗ</t>
  </si>
  <si>
    <t>[NGÀNH] Tỷ giá bán ra Vietcombank ngày 04/10/2026 (trang 9)</t>
  </si>
  <si>
    <t>Tỷ giá bán ra Vietcombank ở trang 9 (26.170 đồng, ngày 04/10/2026) hoặc tra mới, ghi ngày. Bản mẫu: 26.000.</t>
  </si>
  <si>
    <t>Tỷ lệ gọi lại khi lỗi</t>
  </si>
  <si>
    <t>BÀI 1 · BÁO CÁO KẾT QUẢ KINH DOANH (10 phút). Ghi theo tháng phát sinh, không theo ngày tiền vào ra. Chi phí ghi số dương; dòng lợi nhuận = kết quả cộng trừ.</t>
  </si>
  <si>
    <t>%</t>
  </si>
  <si>
    <t>Theo Đề bài 3 · sẽ đo bằng nhật ký lỗi API</t>
  </si>
  <si>
    <t>Tỷ lệ việc phải gọi lại vì lỗi, hết thời gian chờ, trả lời hỏng. Chưa đo: giả định 5–10%, ghi lý do. Bản mẫu: 10%.</t>
  </si>
  <si>
    <t>Khoản mục</t>
  </si>
  <si>
    <t>Hạ tầng / việc (máy chủ, cơ sở dữ liệu, gửi tin)</t>
  </si>
  <si>
    <t>VND</t>
  </si>
  <si>
    <t>Cộng 3 tháng</t>
  </si>
  <si>
    <t>Theo Đề bài 3: lưu trữ, cơ sở dữ liệu theo lượt dùng</t>
  </si>
  <si>
    <t>Tự kiểm tra</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</si>
  <si>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</si>
  <si>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</si>
  <si>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Doanh thu</t>
  </si>
  <si>
    <t>Theo Đề bài 3: chỉ khi người bán báo lỗi · sẽ đo bằng tỷ lệ báo lỗi thực tế</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</si>
  <si>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</si>
  <si>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</si>
  <si>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</si>
  <si>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</si>
  <si>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</si>
  <si>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</si>
  <si>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Theo Đề bài 3: nhân viên kiểm tra nội dung</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</si>
  <si>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</si>
  <si>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</si>
  <si>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</si>
  <si>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</si>
  <si>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Theo Đề bài 3: lưu nhật ký, tuân thủ</t>
  </si>
  <si>
    <t>Lưu nhật ký, bảo mật, tuân thủ. Ghi 0 thì nói vì sao. Bản mẫu: 30 đồng.</t>
  </si>
  <si>
    <t>KẾT QUẢ</t>
  </si>
  <si>
    <t>Giá vốn (gọi AI + người kiểm tra)</t>
  </si>
  <si>
    <t>Chi phí gọi AI / việc (đã tính gọi lại)</t>
  </si>
  <si>
    <t>Lợi nhuận gộp</t>
  </si>
  <si>
    <t>Chi phí người kiểm tra / việc</t>
  </si>
  <si>
    <t>Hạ tầng + đánh giá + khác / việc</t>
  </si>
  <si>
    <t>TỔNG CHI PHÍ MỖI VIỆC</t>
  </si>
  <si>
    <t>Chi phí hoạt động (lương + văn phòng)</t>
  </si>
  <si>
    <t>Lợi nhuận trước lãi vay, thuế và khấu hao (EBITDA)</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</si>
  <si>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</si>
  <si>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</si>
  <si>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</si>
  <si>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</si>
  <si>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</si>
  <si>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</si>
  <si>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</si>
  <si>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</si>
  <si>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</si>
  <si>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</si>
  <si>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</si>
  <si>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</si>
  <si>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</si>
  <si>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</si>
  <si>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</si>
  <si>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</si>
  <si>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</si>
  <si>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</si>
  <si>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</si>
  <si>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</si>
  <si>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</si>
  <si>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</si>
  <si>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</si>
  <si>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</si>
  <si>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</si>
  <si>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</si>
  <si>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</si>
  <si>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</si>
  <si>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</si>
  <si>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</si>
  <si>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</si>
  <si>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</si>
  <si>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</si>
  <si>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</si>
  <si>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</si>
  <si>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</si>
  <si>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</si>
  <si>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</si>
  <si>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</si>
  <si>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</si>
  <si>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</si>
  <si>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</si>
  <si>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</si>
  <si>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</si>
  <si>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</si>
  <si>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</si>
  <si>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</si>
  <si>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2 · Định giá: cách tính tiền, gói giá và nhóm khách dùng nhiều</t>
  </si>
  <si>
    <t>3 · Giả định cho 3 kịch bản</t>
  </si>
  <si>
    <t>Tiền cuối kỳ</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</si>
  <si>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</si>
  <si>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So sánh gói kết hợp (phí cố định + phí vượt hạn mức) với gói không giới hạn để thấy rủi ro từ nhóm khách dùng nhiều.</t>
  </si>
  <si>
    <t>Giả định</t>
  </si>
  <si>
    <t>Mục</t>
  </si>
  <si>
    <t>Lạc quan</t>
  </si>
  <si>
    <t>Cơ sở</t>
  </si>
  <si>
    <t>Xấu</t>
  </si>
  <si>
    <t>Gợi ý · bản mẫu (Lạc quan / Cơ sở / Xấu)</t>
  </si>
  <si>
    <t>Khách trả tiền từ ngân sách nào?</t>
  </si>
  <si>
    <t>Hệ số doanh thu bình quân so với trang 2 (1 = giữ nguyên · 1,1 = cao hơn 10% · 0,8 = thấp hơn 20%)</t>
  </si>
  <si>
    <t>Phần mềm</t>
  </si>
  <si>
    <t>KIỂM TRA: Tiền cuối kỳ = dòng Tiền trên bảng cân đối?</t>
  </si>
  <si>
    <t>Phần mềm hay Nhân sự?</t>
  </si>
  <si>
    <t>Theo Đề bài 3: người bán tự trả, ngân sách nhỏ</t>
  </si>
  <si>
    <t>×</t>
  </si>
  <si>
    <t>Cơ sở = 1. Lạc quan, xấu: mặc định 1,1 và 0,8; sửa nếu có lý do</t>
  </si>
  <si>
    <t>Cách tính tiền đã chọn</t>
  </si>
  <si>
    <t>Bản mẫu: 1,1 / 1 / 0,8. Xấu: bị ép giảm giá; lạc quan: bán được gói cao hơn.</t>
  </si>
  <si>
    <t>Hệ số chi phí AI / khách so với trang 2 (gõ như dòng 5)</t>
  </si>
  <si>
    <t>KIỂM TRA: Lợi nhuận sau thuế = bài 1?</t>
  </si>
  <si>
    <t>Bản mẫu: 0,9 / 1 / 1,2. Giá gọi AI hoặc cách khách dùng thay đổi.</t>
  </si>
  <si>
    <t>Khách mới tháng 1 (số khách ký được trong tháng đầu bán)</t>
  </si>
  <si>
    <t>Kết hợp (phí cố định + vượt hạn mức)</t>
  </si>
  <si>
    <t>Bảng giá dưới luôn có dạng phí cố định + phí mỗi việc vượt hạn mức. Cách nhập cho từng cách tính tiền: dòng 35–40.</t>
  </si>
  <si>
    <t>Theo Đề bài 3 (đã chọn ở Ngày 22)</t>
  </si>
  <si>
    <t>Lý do chọn (hai câu hỏi: đo được kết quả? AI tự làm trọn?)</t>
  </si>
  <si>
    <t>Kết quả (doanh số tăng nhờ mô tả hay) khó đo và không do riêng AI quyết định; AI làm gần trọn, người bán chỉ bấm duyệt → thu phí tháng cố định dễ hiểu cho người bán nhỏ, cộng phí vượt để không lỗ với khách dùng nhiều</t>
  </si>
  <si>
    <t>Lý luận của nhóm theo hai câu hỏi Ngày 22</t>
  </si>
  <si>
    <t>Neo giá so với cái gì?</t>
  </si>
  <si>
    <t>Lương cộng tác viên viết nội dung bán thời gian (khoảng 3 triệu/tháng)</t>
  </si>
  <si>
    <t>Lương hoặc chi phí thuê ngoài, không so với giá ChatGPT</t>
  </si>
  <si>
    <t>Phí cố định / khách / tháng</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</si>
  <si>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</si>
  <si>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</si>
  <si>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Số việc đã gồm trong phí cố định</t>
  </si>
  <si>
    <t>việc / tháng</t>
  </si>
  <si>
    <t>Chỉ tháng 2 có lãi (+2 triệu), nhưng tiền mặt tháng 2 GIẢM 88 triệu: tiền vào chỉ 80 (gói tháng), tiền ra 168 (trả tiền AI tháng 1 là 15 + kiểm tra 10 + lương 120 + văn phòng 20 + lãi 3). Lãi đến từ 90 triệu dự án Y (chưa thu tiền) và 20 triệu phân bổ từ khoản ngân hàng X đã thu từ tháng 1.</t>
  </si>
  <si>
    <t>khách</t>
  </si>
  <si>
    <t>Theo Đề bài 3: 300 người bán tháng đầu. Lạc quan/xấu theo mặc định của file (×1,3 / ×0,5)</t>
  </si>
  <si>
    <t>Cơ sở: số khách đội bán hàng ký được thật trong tháng đầu. Mặc định: lạc quan = cơ sở × 1,3; xấu = cơ sở × 0,5. (Bản mẫu tự đặt 40 / 30 / 15.)</t>
  </si>
  <si>
    <t>Giá mỗi việc vượt hạn mức</t>
  </si>
  <si>
    <t>Tăng trưởng khách mới / tháng (tính kép: 5%/tháng → tháng 24 gấp khoảng 3 lần tháng 1; 20%/tháng → gấp khoảng 66 lần)</t>
  </si>
  <si>
    <t>VND / việc</t>
  </si>
  <si>
    <t>Theo Đề bài 3; cao hơn giá sàn 156 đ (trang 1)</t>
  </si>
  <si>
    <t>Giá gói không giới hạn (để so sánh; thường = phí cố định dòng 9)</t>
  </si>
  <si>
    <t>VND / tháng</t>
  </si>
  <si>
    <t>2. 240 triệu ngân hàng X trả trước nằm ở đâu trên bảng cân đối cuối tháng 3, bao nhiêu? Vì sao không ghi hết vào doanh thu?</t>
  </si>
  <si>
    <t>Theo Đề bài 3; bằng phí cố định để so sánh</t>
  </si>
  <si>
    <t>Nằm ở Nợ phải trả, dòng Doanh thu chưa thực hiện: 180 triệu (240 − 3 tháng × 20). Công ty mới cung cấp dịch vụ 3/12 tháng; 9 tháng còn lại là nghĩa vụ phải phục vụ (hoặc hoàn tiền), chưa phải doanh thu đã kiếm được.</t>
  </si>
  <si>
    <t>3. Lỗ 174 triệu mà dòng tiền kinh doanh chỉ âm 19 triệu. Khoản nào bù vào? Có nên vui không?</t>
  </si>
  <si>
    <t>Nhóm khách</t>
  </si>
  <si>
    <t>Bù vào: doanh thu chưa thực hiện tăng 180, khấu hao 30 (không chi tiền), phải trả nhà cung cấp 35; trừ đi phải thu tăng 90 → −174 + 30 − 90 + 35 + 180 = −19. Không nên vui: 180 là tiền khách trả trước cho dịch vụ tương lai, 35 là nợ phải trả tháng sau; các tháng tới vẫn phải chịu chi phí phục vụ ngân hàng X mà không có tiền vào thêm.</t>
  </si>
  <si>
    <t>Tỷ trọng số khách (2 dòng cộng = 100%)</t>
  </si>
  <si>
    <t>Theo Đề bài 3: 8%/tháng. Lạc quan/xấu theo mặc định (×1,6 / ×0,4)</t>
  </si>
  <si>
    <t>Mặc định: lạc quan × 1,6, xấu × 0,4. Bản mẫu: 8% / 5% / 2%. Trên 10% mỗi tháng cần lý do rất chắc.</t>
  </si>
  <si>
    <t>Tỷ lệ rời bỏ / tháng</t>
  </si>
  <si>
    <t>Số việc / 1 khách / tháng</t>
  </si>
  <si>
    <t>4. (Xong sớm) Nếu từ tháng 4 mọi thứ giữ như tháng 3, công ty còn trụ được khoảng bao nhiêu tháng?</t>
  </si>
  <si>
    <t>Doanh thu / khách (gói kết hợp)</t>
  </si>
  <si>
    <t>Mỗi tháng tiền vào 110 (gói tháng), tiền ra khoảng 188 (AI 35 + kiểm tra 10 + lương 120 + văn phòng 20 + lãi 3) → đốt khoảng 78 triệu/tháng. Tiền 921 + thu 90 của Y ở tháng 4 ≈ 1.011 triệu → trụ được khoảng 13 tháng (đến khoảng tháng 16), chưa tính trả gốc vay năm thứ 3.</t>
  </si>
  <si>
    <t>Chi phí AI / khách (= số việc × chi phí mỗi việc)</t>
  </si>
  <si>
    <t>Biên lợi nhuận gộp (kết hợp)</t>
  </si>
  <si>
    <t>Doanh thu / khách (không giới hạn)</t>
  </si>
  <si>
    <t>Biên lợi nhuận gộp (không giới hạn)</t>
  </si>
  <si>
    <t>Khách thường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</si>
  <si>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</si>
  <si>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</si>
  <si>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</si>
  <si>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Theo Đề bài 3 (giả định): người bán nhỏ trả theo tháng, bỏ khi hết mùa · sẽ đo bằng tỷ lệ hủy gói hằng tháng. Xấu = ×1,6</t>
  </si>
  <si>
    <t>Tiền thuê mỗi tháng (triệu đồng)</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</si>
  <si>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</si>
  <si>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</si>
  <si>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Số tháng</t>
  </si>
  <si>
    <t>Chi phí vốn / năm</t>
  </si>
  <si>
    <t>4 · Chỉ số trên mỗi khách: có lãi trên từng khách không?</t>
  </si>
  <si>
    <t>Giá trị hiện tại của 36 tháng tiền thuê. Gợi ý: =PV(C85/12; C84; -C83). Dấu trừ trước C83 để kết quả là số dương; máy đặt tiếng Anh dùng dấu phẩy thay dấu chấm phẩy.</t>
  </si>
  <si>
    <t>VND / khách</t>
  </si>
  <si>
    <t>Theo Đề bài 3 (giả định): quảng cáo mạng xã hội · sẽ đo bằng chi quảng cáo ÷ số người bán ký mới. Xấu = ×1,5</t>
  </si>
  <si>
    <t>Giá trị vòng đời (LTV) tính trên lợi nhuận gộp, KHÔNG tính trên doanh thu.</t>
  </si>
  <si>
    <t>Xấu phải ≥ 1,5 × cơ sở. Mặc định: lạc quan × 0,8, xấu × 1,5. (Bản mẫu tự đặt 1,2 / 1,5 / 2,3 triệu đồng.)</t>
  </si>
  <si>
    <t>Chi phí cố định / tháng (lương đội, văn phòng, hạ tầng trả cố định)</t>
  </si>
  <si>
    <t>Chỉ số</t>
  </si>
  <si>
    <t>Ngưỡng tham khảo</t>
  </si>
  <si>
    <t>Doanh thu bình quân / khách / tháng</t>
  </si>
  <si>
    <t>Theo Đề bài 3: đội 4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</si>
  <si>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</si>
  <si>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</si>
  <si>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Nên mua hay thuê? (chọn Mua hoặc Thuê trong danh sách)</t>
  </si>
  <si>
    <t>Theo Đề bài 3: 3 tháng đội và văn phòng (360 triệu) + token chạy thử, kiểm thử, dữ liệu mẫu (40 triệu)</t>
  </si>
  <si>
    <t>Thuê</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</si>
  <si>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</si>
  <si>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</si>
  <si>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</si>
  <si>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Theo Đề bài 3: người bán nhỏ, 120 việc/tháng</t>
  </si>
  <si>
    <t>Lãi suất chiết khấu / năm</t>
  </si>
  <si>
    <t>Lợi nhuận gộp / khách / tháng</t>
  </si>
  <si>
    <t>Khách dùng nhiều</t>
  </si>
  <si>
    <t>Giả định của lớp: chi phí vốn cho dự án rủi ro cao</t>
  </si>
  <si>
    <t>Nếu chi phí vốn chỉ 8%/năm: giá trị hiện tại của tiền thuê (gợi ý: =PV(0,08/12; C84; -C83))</t>
  </si>
  <si>
    <t>Giữ 15% nếu không có lý do khác.</t>
  </si>
  <si>
    <t>Giá trị tính ra</t>
  </si>
  <si>
    <t>≥ 60%</t>
  </si>
  <si>
    <t>Khi đó nên mua hay thuê?</t>
  </si>
  <si>
    <t>Số tháng khách ở lại = 1 ÷ tỷ lệ rời bỏ</t>
  </si>
  <si>
    <t>Mua</t>
  </si>
  <si>
    <t>Theo Đề bài 3: gian hàng lớn, 1.200 việc/tháng</t>
  </si>
  <si>
    <t>BÌNH QUÂN (theo tỷ trọng)</t>
  </si>
  <si>
    <t>Chi phí AI (giá vốn) / khách / tháng</t>
  </si>
  <si>
    <t>Giá trị vòng đời (LTV) = lợi nhuận gộp × số tháng ở lại</t>
  </si>
  <si>
    <t>Chi phí có một khách (CAC)</t>
  </si>
  <si>
    <t>Doanh thu bình quân đã trừ phần chia cho đối tác (trang 2, dòng 27).</t>
  </si>
  <si>
    <t>Kiểm tra kịch bản xấu</t>
  </si>
  <si>
    <t>LTV ÷ CAC (lần)</t>
  </si>
  <si>
    <t>Tỷ lệ rời bỏ (xấu) ≥ 1,5 × cơ sở?</t>
  </si>
  <si>
    <t>&gt; 3 (Ngày 23); mô hình của bạn: trang 5, dòng 74</t>
  </si>
  <si>
    <t>Thời gian hoàn vốn chi phí có khách (tháng)</t>
  </si>
  <si>
    <t>Chi phí có một khách (xấu) ≥ 1,5 × cơ sở?</t>
  </si>
  <si>
    <t>&lt; 12 tháng</t>
  </si>
  <si>
    <t>Đánh giá</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</si>
  <si>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</si>
  <si>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</si>
  <si>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</si>
  <si>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</si>
  <si>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</si>
  <si>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</si>
  <si>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</si>
  <si>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Theo Đề bài 3: cộng tác viên viết nội dung bán thời gian</t>
  </si>
  <si>
    <t>Tỷ lệ chia doanh thu cho đối tác / kênh bán</t>
  </si>
  <si>
    <t>% doanh thu</t>
  </si>
  <si>
    <t>Bán trực tiếp nên 0%. Bán qua đối tác thì nhập tỷ lệ chia</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</si>
  <si>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</si>
  <si>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</si>
  <si>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</si>
  <si>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</si>
  <si>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</si>
  <si>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</si>
  <si>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</si>
  <si>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</si>
  <si>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</si>
  <si>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</si>
  <si>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</si>
  <si>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</si>
  <si>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</si>
  <si>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</si>
  <si>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</si>
  <si>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</si>
  <si>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</si>
  <si>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</si>
  <si>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</si>
  <si>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</si>
  <si>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</si>
  <si>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</si>
  <si>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</si>
  <si>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</si>
  <si>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</si>
  <si>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</si>
  <si>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6 · Hiệu quả dự án AI dùng trong nội bộ (khi sản phẩm phục vụ chính công ty)</t>
  </si>
  <si>
    <t>T1</t>
  </si>
  <si>
    <t>T2</t>
  </si>
  <si>
    <t>T3</t>
  </si>
  <si>
    <t>T4</t>
  </si>
  <si>
    <t>T5</t>
  </si>
  <si>
    <t>T6</t>
  </si>
  <si>
    <t>T7</t>
  </si>
  <si>
    <t>T8</t>
  </si>
  <si>
    <t>T9</t>
  </si>
  <si>
    <t>T10</t>
  </si>
  <si>
    <t>T11</t>
  </si>
  <si>
    <t>T12</t>
  </si>
  <si>
    <t>T13</t>
  </si>
  <si>
    <t>T14</t>
  </si>
  <si>
    <t>T15</t>
  </si>
  <si>
    <t>T16</t>
  </si>
  <si>
    <t>T17</t>
  </si>
  <si>
    <t>T18</t>
  </si>
  <si>
    <t>T19</t>
  </si>
  <si>
    <t>Hiệu quả = (giá trị tạo ra − chi phí vận hành) so với chi phí đầu tư một lần. Không dùng thay cho trang 3–5 nếu sản phẩm bán ra thị trường.</t>
  </si>
  <si>
    <t>T20</t>
  </si>
  <si>
    <t>T21</t>
  </si>
  <si>
    <t>Lưu ý: giờ tiết kiệm chỉ thành tiền khi được dùng vào việc khác hoặc giúp giảm tuyển mới. Nếu không, chỉ ghi phần đo được ở dòng 9 và nói rõ lý do.</t>
  </si>
  <si>
    <t>T22</t>
  </si>
  <si>
    <t>T23</t>
  </si>
  <si>
    <t>T24</t>
  </si>
  <si>
    <t>LẠC QUAN</t>
  </si>
  <si>
    <t>Khách mới</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</si>
  <si>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</si>
  <si>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</si>
  <si>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</si>
  <si>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</si>
  <si>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</si>
  <si>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</si>
  <si>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</si>
  <si>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</si>
  <si>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</si>
  <si>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</si>
  <si>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</si>
  <si>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</si>
  <si>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</si>
  <si>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</si>
  <si>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</si>
  <si>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</si>
  <si>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</si>
  <si>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</si>
  <si>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</si>
  <si>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</si>
  <si>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</si>
  <si>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</si>
  <si>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</si>
  <si>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&gt; 0</t>
  </si>
  <si>
    <t>Đầu tư một lần</t>
  </si>
  <si>
    <t>Thời gian hoàn vốn</t>
  </si>
  <si>
    <t>Hiệu quả đầu tư sau 12 tháng (ROI)</t>
  </si>
  <si>
    <t>7 · Tự kiểm tra và ghi chú quyết định</t>
  </si>
  <si>
    <t>Giá trị hiện tại ròng 24 tháng</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</si>
  <si>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</si>
  <si>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</si>
  <si>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</si>
  <si>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</si>
  <si>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</si>
  <si>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Đánh giá nhanh</t>
  </si>
  <si>
    <t>Hoàn vốn dưới 12 tháng: Làm · hoàn vốn được nhưng chậm: thử ở 1 phòng ban để đo tỷ lệ người dùng thật · không hoàn vốn: Dừng</t>
  </si>
  <si>
    <t>Khách đang dùng</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</si>
  <si>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</si>
  <si>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</si>
  <si>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</si>
  <si>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</si>
  <si>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</si>
  <si>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</si>
  <si>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</si>
  <si>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</si>
  <si>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</si>
  <si>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DỪNG ở mô hình hiện tại. Chi phí mỗi việc chỉ ~52 đ và biên gộp 89,5%, nhưng khách chỉ ở lại ~6,7 tháng (rời bỏ 15%) nên LTV ≈ 832 nghìn, chỉ gấp 1,19 lần CAC 700 nghìn; giá trị hiện tại ròng 24 tháng (cơ sở) ≈ −5,6 tỷ, hết tiền tháng 5 (cả cơ sở và xấu). Kế hoạch cắt giảm: dừng quảng cáo mạng xã hội ngay, giữ ngân sách, chỉ thử nghiệm nhỏ 3 tháng với 50 người bán qua kênh bán kèm trên sàn (CAC mục tiêu ≤ 360 nghìn) trước khi mở rộng</t>
  </si>
  <si>
    <t>2. Giá bán và cách tính tiền đã chọn — vì sao khách chấp nhận mức đó?</t>
  </si>
  <si>
    <t>Gói kết hợp 99.000 đ/tháng gồm 300 việc, vượt 300 đ/việc (gấp ~1,9 lần giá sàn 156 đ). Người bán nhỏ chấp nhận vì chỉ bằng ~3% lương cộng tác viên 3 triệu (khách dùng nhiều trả 369.000 đ ≈ 12%); phí vượt giữ biên khách dùng nhiều ở 83% thay vì 37% nếu bán gói không giới hạn</t>
  </si>
  <si>
    <t>3. Biến số nguy hiểm nhất (theo bảng độ nhạy ở trang 5) và cách theo dõi.</t>
  </si>
  <si>
    <t>Chi phí có một khách (CAC): tăng 20% làm giá trị hiện tại ròng giảm thêm ~2,3 tỷ; tiếp theo là doanh thu bình quân (~2,0 tỷ). Bán thêm khách không cứu được dự án: khách mới giảm 20% lại làm NPV TỐT lên ~0,5 tỷ, vì mỗi khách trả trước 700 nghìn nhưng rời đi trước khi hoàn vốn đủ. Theo dõi hằng tuần: chi quảng cáo ÷ số người bán ký mới, và tỷ lệ hủy gói theo nhóm tháng đăng ký</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</si>
  <si>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</si>
  <si>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NẾU CAC trên 360.000 đ (mức hòa vốn, trang 5 dòng 74) TRONG 4 tuần liên tiếp trên ít nhất 30 người bán ký mới, THÌ dừng chiến dịch quảng cáo đó và chuyển ngân sách sang kênh bán kèm qua sàn. KHÔNG THÌ không tăng ngân sách quảng cáo để “kéo thêm khách” bù doanh thu</t>
  </si>
  <si>
    <t>5. Mức cảnh báo tự tính (trang 5, dòng 72–77) đã điền vào bảng theo dõi Ngày 23 thế nào? Chưa có bảng Ngày 23: chép các mức đó, ghi mức nào là "nguy", mức nào "đáng lo", và ai theo dõi hằng tuần.</t>
  </si>
  <si>
    <t>Chưa có bảng, nhóm lấy mức [tự tính]. Vì NPV cơ sở âm, đây là mức phải đạt để hòa vốn: CAC ≤ 360.000 đ (hiện 700.000 → nguy); doanh thu bình quân ≥ 218.700 đ/khách (hiện 139.500 → nguy). Đáng lo: CAC 360–450 nghìn hoặc tỷ lệ rời bỏ trên 15%/tháng. Người phụ trách marketing theo dõi CAC hằng tuần; trưởng sản phẩm theo dõi rời bỏ và doanh thu bình quân hằng tháng</t>
  </si>
  <si>
    <t>8 · Thang điểm (100 điểm)</t>
  </si>
  <si>
    <t>Trừ điểm: số bịa không có nguồn, chỉ 1 kịch bản, nhầm doanh thu với lợi nhuận.</t>
  </si>
  <si>
    <t>Chi phí AI (giá vốn)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</si>
  <si>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</si>
  <si>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</si>
  <si>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</si>
  <si>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</si>
  <si>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</si>
  <si>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</si>
  <si>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</si>
  <si>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</si>
  <si>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</si>
  <si>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</si>
  <si>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</si>
  <si>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</si>
  <si>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</si>
  <si>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</si>
  <si>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</si>
  <si>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</si>
  <si>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</si>
  <si>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</si>
  <si>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</si>
  <si>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</si>
  <si>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</si>
  <si>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</si>
  <si>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</si>
  <si>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</si>
  <si>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</si>
  <si>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</si>
  <si>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</si>
  <si>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</si>
  <si>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</si>
  <si>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</si>
  <si>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</si>
  <si>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</si>
  <si>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</si>
  <si>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</si>
  <si>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</si>
  <si>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</si>
  <si>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</si>
  <si>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</si>
  <si>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</si>
  <si>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</si>
  <si>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</si>
  <si>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Chi phí bán hàng (chi phí có khách × khách mới)</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</si>
  <si>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</si>
  <si>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</si>
  <si>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</si>
  <si>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</si>
  <si>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Chi phí cố định</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</si>
  <si>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</si>
  <si>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</si>
  <si>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</si>
  <si>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</si>
  <si>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</si>
  <si>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</si>
  <si>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</si>
  <si>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</si>
  <si>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</si>
  <si>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</si>
  <si>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</si>
  <si>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</si>
  <si>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</si>
  <si>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</si>
  <si>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</si>
  <si>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</si>
  <si>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</si>
  <si>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</si>
  <si>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</si>
  <si>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</si>
  <si>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</si>
  <si>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</si>
  <si>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</si>
  <si>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</si>
  <si>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</si>
  <si>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</si>
  <si>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</si>
  <si>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</si>
  <si>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</si>
  <si>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</si>
  <si>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</si>
  <si>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</si>
  <si>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</si>
  <si>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</si>
  <si>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</si>
  <si>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</si>
  <si>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</si>
  <si>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</si>
  <si>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</si>
  <si>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</si>
  <si>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</si>
  <si>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</si>
  <si>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</si>
  <si>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</si>
  <si>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</si>
  <si>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Dòng tiền ròng</t>
  </si>
  <si>
    <t>Tiền mặt cuối kỳ</t>
  </si>
  <si>
    <t>Dòng tiền lũy kế của dự án</t>
  </si>
  <si>
    <t>CƠ SỞ</t>
  </si>
  <si>
    <t>XẤU</t>
  </si>
  <si>
    <t>TÓM TẮT HIỆU QUẢ ĐẦU TƯ</t>
  </si>
  <si>
    <t>Giá trị hiện tại ròng 24 tháng (đồng; lớn hơn 0 là đáng làm)</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</si>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</sst>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0;[RED]\-#,##0"/>
    <numFmt numFmtId="166" formatCode="0.0%"/>
    <numFmt numFmtId="167" formatCode="#,##0.0;[RED]\-#,##0.0"/>
    <numFmt numFmtId="168" formatCode="0.0&quot; tháng&quot;"/>
    <numFmt numFmtId="169" formatCode="0.00\x"/>
    <numFmt numFmtId="170" formatCode="#,##0.0"/>
    <numFmt numFmtId="171" formatCode="&quot;Tháng &quot;0"/>
  </numFmts>
  <fonts count="19">
    <font>
      <sz val="11.0"/>
      <color theme="1"/>
      <name val="Calibri"/>
      <scheme val="minor"/>
    </font>
    <font>
      <b/>
      <sz val="14.0"/>
      <color theme="1"/>
      <name val="Cambria"/>
    </font>
    <font>
      <b/>
      <sz val="14.0"/>
      <color theme="1"/>
      <name val="Calibri"/>
      <scheme val="minor"/>
    </font>
    <font>
      <sz val="11.0"/>
      <color theme="1"/>
      <name val="Calibri"/>
    </font>
    <font>
      <i/>
      <sz val="11.0"/>
      <color rgb="FF595959"/>
      <name val="Calibri"/>
      <scheme val="minor"/>
    </font>
    <font>
      <i/>
      <sz val="11.0"/>
      <color rgb="FF595959"/>
      <name val="Cambria"/>
    </font>
    <font>
      <b/>
      <sz val="11.0"/>
      <color rgb="FFC00000"/>
      <name val="Calibri"/>
    </font>
    <font>
      <b/>
      <sz val="11.0"/>
      <color rgb="FFFFFFFF"/>
      <name val="Cambria"/>
    </font>
    <font>
      <i/>
      <sz val="10.0"/>
      <color rgb="FF595959"/>
      <name val="Calibri"/>
    </font>
    <font>
      <b/>
      <sz val="11.0"/>
      <color theme="1"/>
      <name val="Cambria"/>
    </font>
    <font>
      <b/>
      <sz val="14.0"/>
      <color rgb="FF1A1A1A"/>
      <name val="Arial"/>
    </font>
    <font>
      <sz val="14.0"/>
      <color rgb="FF1A1A1A"/>
      <name val="Arial"/>
    </font>
    <font>
      <b/>
      <sz val="11.0"/>
      <color theme="1"/>
      <name val="Calibri"/>
      <scheme val="minor"/>
    </font>
    <font>
      <u/>
      <sz val="11.0"/>
      <color theme="1"/>
      <name val="Calibri"/>
    </font>
    <font>
      <b/>
      <sz val="11.0"/>
      <color theme="1"/>
      <name val="Calibri"/>
    </font>
    <font/>
    <font>
      <b/>
      <sz val="12.0"/>
      <color theme="1"/>
      <name val="Cambria"/>
    </font>
    <font>
      <b/>
      <sz val="11.0"/>
      <color rgb="FFC00000"/>
      <name val="Cambria"/>
    </font>
    <font>
      <sz val="10.0"/>
      <color rgb="FF808080"/>
      <name val="Calibri"/>
    </font>
  </fonts>
  <fills count="6">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D9E1F2"/>
        <bgColor rgb="FFD9E1F2"/>
      </patternFill>
    </fill>
  </fills>
  <borders count="8">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top" wrapText="1"/>
    </xf>
    <xf borderId="0" fillId="0" fontId="5" numFmtId="0" xfId="0" applyAlignment="1" applyFont="1">
      <alignment shrinkToFit="0" vertical="bottom" wrapText="0"/>
    </xf>
    <xf borderId="0" fillId="0" fontId="0" numFmtId="0" xfId="0" applyAlignment="1" applyFont="1">
      <alignment shrinkToFit="0" vertical="top" wrapText="1"/>
    </xf>
    <xf borderId="0" fillId="0" fontId="6" numFmtId="0" xfId="0" applyAlignment="1" applyFont="1">
      <alignment shrinkToFit="0" vertical="top" wrapText="1"/>
    </xf>
    <xf borderId="1" fillId="2" fontId="7" numFmtId="0" xfId="0" applyAlignment="1" applyBorder="1" applyFill="1" applyFont="1">
      <alignment shrinkToFit="0" vertical="bottom" wrapText="1"/>
    </xf>
    <xf borderId="1" fillId="2" fontId="7" numFmtId="0" xfId="0" applyAlignment="1" applyBorder="1" applyFill="1" applyFont="1">
      <alignment shrinkToFit="0" vertical="center" wrapText="1"/>
    </xf>
    <xf borderId="0" fillId="0" fontId="8" numFmtId="0" xfId="0" applyAlignment="1" applyFont="1">
      <alignment shrinkToFit="0" vertical="top" wrapText="1"/>
    </xf>
    <xf borderId="2" fillId="0" fontId="3" numFmtId="0" xfId="0" applyAlignment="1" applyBorder="1" applyFont="1">
      <alignment shrinkToFit="0" vertical="center" wrapText="0"/>
    </xf>
    <xf borderId="0" fillId="0" fontId="9" numFmtId="0" xfId="0" applyAlignment="1" applyFont="1">
      <alignment shrinkToFit="0" vertical="bottom" wrapText="0"/>
    </xf>
    <xf borderId="2" fillId="0" fontId="3" numFmtId="0" xfId="0" applyAlignment="1" applyBorder="1" applyFont="1">
      <alignment shrinkToFit="0" vertical="top" wrapText="1"/>
    </xf>
    <xf borderId="0" fillId="0" fontId="10" numFmtId="0" xfId="0" applyFont="1"/>
    <xf borderId="0" fillId="0" fontId="3" numFmtId="0" xfId="0" applyAlignment="1" applyFont="1">
      <alignment shrinkToFit="0" vertical="center" wrapText="0"/>
    </xf>
    <xf borderId="1" fillId="3" fontId="3" numFmtId="0" xfId="0" applyAlignment="1" applyBorder="1" applyFill="1" applyFont="1">
      <alignment shrinkToFit="0" vertical="center" wrapText="1"/>
    </xf>
    <xf borderId="0" fillId="0" fontId="8" numFmtId="0" xfId="0" applyAlignment="1" applyFont="1">
      <alignment shrinkToFit="0" vertical="center" wrapText="1"/>
    </xf>
    <xf borderId="2" fillId="3" fontId="3" numFmtId="0" xfId="0" applyAlignment="1" applyBorder="1" applyFill="1" applyFont="1">
      <alignment shrinkToFit="0" vertical="top" wrapText="1"/>
    </xf>
    <xf borderId="2" fillId="0" fontId="3" numFmtId="0" xfId="0" applyAlignment="1" applyBorder="1" applyFont="1">
      <alignment horizontal="center" shrinkToFit="0" vertical="center" wrapText="0"/>
    </xf>
    <xf borderId="0" fillId="0" fontId="11" numFmtId="164" xfId="0" applyFont="1" applyNumberFormat="1"/>
    <xf borderId="2" fillId="0" fontId="3" numFmtId="165" xfId="0" applyAlignment="1" applyBorder="1" applyFont="1" applyNumberFormat="1">
      <alignment shrinkToFit="0" vertical="center" wrapText="0"/>
    </xf>
    <xf borderId="0" fillId="0" fontId="12" numFmtId="0" xfId="0" applyAlignment="1" applyFont="1">
      <alignment shrinkToFit="0" vertical="bottom" wrapText="0"/>
    </xf>
    <xf borderId="2" fillId="3" fontId="3" numFmtId="164" xfId="0" applyAlignment="1" applyBorder="1" applyFill="1" applyFont="1" applyNumberFormat="1">
      <alignment shrinkToFit="0" vertical="center" wrapText="0"/>
    </xf>
    <xf borderId="2" fillId="0" fontId="3" numFmtId="0" xfId="0" applyAlignment="1" applyBorder="1" applyFont="1">
      <alignment shrinkToFit="0" vertical="center" wrapText="1"/>
    </xf>
    <xf borderId="1" fillId="3" fontId="0" numFmtId="0" xfId="0" applyAlignment="1" applyBorder="1" applyFill="1" applyFont="1">
      <alignment shrinkToFit="0" vertical="bottom" wrapText="0"/>
    </xf>
    <xf borderId="2" fillId="3" fontId="3" numFmtId="0" xfId="0" applyAlignment="1" applyBorder="1" applyFill="1" applyFont="1">
      <alignment shrinkToFit="0" vertical="center" wrapText="1"/>
    </xf>
    <xf borderId="2" fillId="0" fontId="3" numFmtId="0" xfId="0" applyAlignment="1" applyBorder="1" applyFont="1">
      <alignment readingOrder="0" shrinkToFit="0" vertical="top" wrapText="1"/>
    </xf>
    <xf borderId="1" fillId="4" fontId="0" numFmtId="0" xfId="0" applyAlignment="1" applyBorder="1" applyFill="1" applyFont="1">
      <alignment shrinkToFit="0" vertical="bottom" wrapText="0"/>
    </xf>
    <xf borderId="0" fillId="0" fontId="0" numFmtId="0" xfId="0" applyAlignment="1" applyFont="1">
      <alignment shrinkToFit="0" vertical="bottom" wrapText="0"/>
    </xf>
    <xf borderId="1" fillId="3" fontId="13" numFmtId="0" xfId="0" applyAlignment="1" applyBorder="1" applyFill="1" applyFont="1">
      <alignment shrinkToFit="0" vertical="center" wrapText="1"/>
    </xf>
    <xf borderId="1" fillId="4" fontId="3" numFmtId="0" xfId="0" applyAlignment="1" applyBorder="1" applyFill="1" applyFont="1">
      <alignment shrinkToFit="0" vertical="bottom" wrapText="0"/>
    </xf>
    <xf borderId="2" fillId="3" fontId="3" numFmtId="166" xfId="0" applyAlignment="1" applyBorder="1" applyFill="1" applyFont="1" applyNumberFormat="1">
      <alignment shrinkToFit="0" vertical="center" wrapText="0"/>
    </xf>
    <xf borderId="0" fillId="0" fontId="9" numFmtId="0" xfId="0" applyAlignment="1" applyFont="1">
      <alignment shrinkToFit="0" vertical="top" wrapText="1"/>
    </xf>
    <xf borderId="2" fillId="0" fontId="3" numFmtId="0" xfId="0" applyAlignment="1" applyBorder="1" applyFont="1">
      <alignment shrinkToFit="0" vertical="bottom" wrapText="0"/>
    </xf>
    <xf borderId="2" fillId="3" fontId="3" numFmtId="165" xfId="0" applyAlignment="1" applyBorder="1" applyFill="1" applyFont="1" applyNumberFormat="1">
      <alignment shrinkToFit="0" vertical="bottom" wrapText="0"/>
    </xf>
    <xf borderId="2" fillId="4" fontId="3" numFmtId="165" xfId="0" applyAlignment="1" applyBorder="1" applyFill="1" applyFont="1" applyNumberFormat="1">
      <alignment shrinkToFit="0" vertical="bottom" wrapText="0"/>
    </xf>
    <xf borderId="2" fillId="0" fontId="14" numFmtId="0" xfId="0" applyAlignment="1" applyBorder="1" applyFont="1">
      <alignment shrinkToFit="0" vertical="bottom" wrapText="0"/>
    </xf>
    <xf borderId="2" fillId="4" fontId="14" numFmtId="165" xfId="0" applyAlignment="1" applyBorder="1" applyFill="1" applyFont="1" applyNumberFormat="1">
      <alignment shrinkToFit="0" vertical="bottom" wrapText="0"/>
    </xf>
    <xf borderId="2" fillId="4" fontId="3" numFmtId="0" xfId="0" applyAlignment="1" applyBorder="1" applyFill="1" applyFont="1">
      <alignment shrinkToFit="0" vertical="bottom" wrapText="0"/>
    </xf>
    <xf borderId="2" fillId="4" fontId="9" numFmtId="165" xfId="0" applyAlignment="1" applyBorder="1" applyFill="1" applyFont="1" applyNumberFormat="1">
      <alignment shrinkToFit="0" vertical="bottom" wrapText="0"/>
    </xf>
    <xf borderId="2" fillId="4" fontId="3" numFmtId="166" xfId="0" applyAlignment="1" applyBorder="1" applyFill="1" applyFont="1" applyNumberFormat="1">
      <alignment shrinkToFit="0" vertical="bottom" wrapText="0"/>
    </xf>
    <xf borderId="0" fillId="0" fontId="8" numFmtId="0" xfId="0" applyAlignment="1" applyFont="1">
      <alignment shrinkToFit="0" vertical="bottom" wrapText="0"/>
    </xf>
    <xf borderId="2" fillId="4" fontId="3" numFmtId="9" xfId="0" applyAlignment="1" applyBorder="1" applyFill="1" applyFont="1" applyNumberFormat="1">
      <alignment shrinkToFit="0" vertical="bottom" wrapText="0"/>
    </xf>
    <xf borderId="2" fillId="0" fontId="14" numFmtId="0" xfId="0" applyAlignment="1" applyBorder="1" applyFont="1">
      <alignment shrinkToFit="0" vertical="top" wrapText="1"/>
    </xf>
    <xf borderId="2" fillId="4" fontId="14" numFmtId="0" xfId="0" applyAlignment="1" applyBorder="1" applyFill="1" applyFont="1">
      <alignment shrinkToFit="0" vertical="top" wrapText="1"/>
    </xf>
    <xf borderId="2" fillId="4" fontId="14" numFmtId="0" xfId="0" applyAlignment="1" applyBorder="1" applyFill="1" applyFont="1">
      <alignment shrinkToFit="0" vertical="bottom" wrapText="0"/>
    </xf>
    <xf borderId="2" fillId="0" fontId="3" numFmtId="165" xfId="0" applyAlignment="1" applyBorder="1" applyFont="1" applyNumberFormat="1">
      <alignment shrinkToFit="0" vertical="bottom" wrapText="0"/>
    </xf>
    <xf borderId="1" fillId="3" fontId="3" numFmtId="0" xfId="0" applyAlignment="1" applyBorder="1" applyFill="1" applyFont="1">
      <alignment shrinkToFit="0" vertical="bottom" wrapText="1"/>
    </xf>
    <xf borderId="2" fillId="3" fontId="3" numFmtId="2" xfId="0" applyAlignment="1" applyBorder="1" applyFill="1" applyFont="1" applyNumberFormat="1">
      <alignment shrinkToFit="0" vertical="center" wrapText="0"/>
    </xf>
    <xf borderId="0" fillId="0" fontId="3" numFmtId="0" xfId="0" applyAlignment="1" applyFont="1">
      <alignment shrinkToFit="0" vertical="top" wrapText="1"/>
    </xf>
    <xf borderId="1" fillId="3" fontId="3" numFmtId="0" xfId="0" applyAlignment="1" applyBorder="1" applyFill="1" applyFont="1">
      <alignment shrinkToFit="0" vertical="bottom" wrapText="0"/>
    </xf>
    <xf borderId="2" fillId="3" fontId="3" numFmtId="3" xfId="0" applyAlignment="1" applyBorder="1" applyFill="1" applyFont="1" applyNumberFormat="1">
      <alignment shrinkToFit="0" vertical="center" wrapText="0"/>
    </xf>
    <xf borderId="3" fillId="3" fontId="3" numFmtId="0" xfId="0" applyAlignment="1" applyBorder="1" applyFill="1" applyFont="1">
      <alignment shrinkToFit="0" vertical="top" wrapText="1"/>
    </xf>
    <xf borderId="4" fillId="0" fontId="15" numFmtId="0" xfId="0" applyBorder="1" applyFont="1"/>
    <xf borderId="5" fillId="0" fontId="15" numFmtId="0" xfId="0" applyBorder="1" applyFont="1"/>
    <xf borderId="1" fillId="2" fontId="7" numFmtId="0" xfId="0" applyAlignment="1" applyBorder="1" applyFill="1" applyFont="1">
      <alignment shrinkToFit="0" vertical="top" wrapText="1"/>
    </xf>
    <xf borderId="2" fillId="3" fontId="3" numFmtId="10" xfId="0" applyAlignment="1" applyBorder="1" applyFill="1" applyFont="1" applyNumberFormat="1">
      <alignment shrinkToFit="0" vertical="bottom" wrapText="0"/>
    </xf>
    <xf borderId="2" fillId="3" fontId="3" numFmtId="3" xfId="0" applyAlignment="1" applyBorder="1" applyFill="1" applyFont="1" applyNumberFormat="1">
      <alignment shrinkToFit="0" vertical="bottom" wrapText="0"/>
    </xf>
    <xf borderId="2" fillId="0" fontId="3" numFmtId="9" xfId="0" applyAlignment="1" applyBorder="1" applyFont="1" applyNumberFormat="1">
      <alignment shrinkToFit="0" vertical="bottom" wrapText="0"/>
    </xf>
    <xf borderId="2" fillId="3" fontId="3" numFmtId="165" xfId="0" applyAlignment="1" applyBorder="1" applyFill="1" applyFont="1" applyNumberFormat="1">
      <alignment shrinkToFit="0" vertical="center" wrapText="0"/>
    </xf>
    <xf borderId="2" fillId="3" fontId="3" numFmtId="167" xfId="0" applyAlignment="1" applyBorder="1" applyFill="1" applyFont="1" applyNumberFormat="1">
      <alignment shrinkToFit="0" vertical="bottom" wrapText="0"/>
    </xf>
    <xf borderId="2" fillId="3" fontId="3" numFmtId="0" xfId="0" applyAlignment="1" applyBorder="1" applyFill="1" applyFont="1">
      <alignment shrinkToFit="0" vertical="bottom" wrapText="0"/>
    </xf>
    <xf borderId="1" fillId="3" fontId="3" numFmtId="0" xfId="0" applyAlignment="1" applyBorder="1" applyFill="1" applyFont="1">
      <alignment shrinkToFit="0" vertical="center" wrapText="0"/>
    </xf>
    <xf borderId="2" fillId="4" fontId="3" numFmtId="168" xfId="0" applyAlignment="1" applyBorder="1" applyFill="1" applyFont="1" applyNumberFormat="1">
      <alignment shrinkToFit="0" vertical="bottom" wrapText="0"/>
    </xf>
    <xf borderId="2" fillId="0" fontId="3" numFmtId="0" xfId="0" applyAlignment="1" applyBorder="1" applyFont="1">
      <alignment shrinkToFit="0" vertical="bottom" wrapText="1"/>
    </xf>
    <xf borderId="2" fillId="4" fontId="3" numFmtId="3" xfId="0" applyAlignment="1" applyBorder="1" applyFill="1" applyFont="1" applyNumberFormat="1">
      <alignment shrinkToFit="0" vertical="bottom" wrapText="0"/>
    </xf>
    <xf borderId="2" fillId="4" fontId="9" numFmtId="169" xfId="0" applyAlignment="1" applyBorder="1" applyFill="1" applyFont="1" applyNumberFormat="1">
      <alignment shrinkToFit="0" vertical="bottom" wrapText="0"/>
    </xf>
    <xf borderId="2" fillId="4" fontId="9" numFmtId="166" xfId="0" applyAlignment="1" applyBorder="1" applyFill="1" applyFont="1" applyNumberFormat="1">
      <alignment shrinkToFit="0" vertical="bottom" wrapText="0"/>
    </xf>
    <xf borderId="2" fillId="4" fontId="9" numFmtId="0" xfId="0" applyAlignment="1" applyBorder="1" applyFill="1" applyFont="1">
      <alignment shrinkToFit="0" vertical="bottom" wrapText="0"/>
    </xf>
    <xf borderId="2" fillId="3" fontId="3" numFmtId="9" xfId="0" applyAlignment="1" applyBorder="1" applyFill="1" applyFont="1" applyNumberFormat="1">
      <alignment shrinkToFit="0" vertical="bottom" wrapText="0"/>
    </xf>
    <xf borderId="2" fillId="4" fontId="3" numFmtId="0" xfId="0" applyAlignment="1" applyBorder="1" applyFill="1" applyFont="1">
      <alignment shrinkToFit="0" vertical="top" wrapText="1"/>
    </xf>
    <xf borderId="2" fillId="4" fontId="3" numFmtId="2" xfId="0" applyAlignment="1" applyBorder="1" applyFill="1" applyFont="1" applyNumberFormat="1">
      <alignment shrinkToFit="0" vertical="bottom" wrapText="0"/>
    </xf>
    <xf borderId="2" fillId="4" fontId="14" numFmtId="166" xfId="0" applyAlignment="1" applyBorder="1" applyFill="1" applyFont="1" applyNumberFormat="1">
      <alignment shrinkToFit="0" vertical="bottom" wrapText="0"/>
    </xf>
    <xf borderId="0" fillId="0" fontId="6" numFmtId="0" xfId="0" applyAlignment="1" applyFont="1">
      <alignment shrinkToFit="0" vertical="bottom" wrapText="0"/>
    </xf>
    <xf borderId="1" fillId="5" fontId="9" numFmtId="0" xfId="0" applyAlignment="1" applyBorder="1" applyFill="1" applyFont="1">
      <alignment shrinkToFit="0" vertical="bottom" wrapText="0"/>
    </xf>
    <xf borderId="2" fillId="3" fontId="3" numFmtId="170" xfId="0" applyAlignment="1" applyBorder="1" applyFill="1" applyFont="1" applyNumberFormat="1">
      <alignment shrinkToFit="0" vertical="center" wrapText="0"/>
    </xf>
    <xf borderId="0" fillId="0" fontId="3" numFmtId="170" xfId="0" applyAlignment="1" applyFont="1" applyNumberFormat="1">
      <alignment shrinkToFit="0" vertical="bottom" wrapText="0"/>
    </xf>
    <xf borderId="2" fillId="4" fontId="9" numFmtId="168" xfId="0" applyAlignment="1" applyBorder="1" applyFill="1" applyFont="1" applyNumberFormat="1">
      <alignment shrinkToFit="0" vertical="bottom" wrapText="0"/>
    </xf>
    <xf borderId="0" fillId="0" fontId="5" numFmtId="0" xfId="0" applyAlignment="1" applyFont="1">
      <alignment shrinkToFit="0" vertical="top" wrapText="1"/>
    </xf>
    <xf borderId="2" fillId="4" fontId="3" numFmtId="169" xfId="0" applyAlignment="1" applyBorder="1" applyFill="1" applyFont="1" applyNumberFormat="1">
      <alignment shrinkToFit="0" vertical="bottom" wrapText="0"/>
    </xf>
    <xf borderId="2" fillId="4" fontId="3" numFmtId="171" xfId="0" applyAlignment="1" applyBorder="1" applyFill="1" applyFont="1" applyNumberFormat="1">
      <alignment shrinkToFit="0" vertical="bottom" wrapText="0"/>
    </xf>
    <xf borderId="0" fillId="0" fontId="16" numFmtId="0" xfId="0" applyAlignment="1" applyFont="1">
      <alignment shrinkToFit="0" vertical="top" wrapText="1"/>
    </xf>
    <xf borderId="6" fillId="3" fontId="3" numFmtId="0" xfId="0" applyAlignment="1" applyBorder="1" applyFill="1" applyFont="1">
      <alignment readingOrder="0" shrinkToFit="0" vertical="bottom" wrapText="1"/>
    </xf>
    <xf borderId="7" fillId="0" fontId="15" numFmtId="0" xfId="0" applyBorder="1" applyFont="1"/>
    <xf borderId="3" fillId="3" fontId="3" numFmtId="0" xfId="0" applyAlignment="1" applyBorder="1" applyFill="1" applyFont="1">
      <alignment readingOrder="0" shrinkToFit="0" vertical="top" wrapText="1"/>
    </xf>
    <xf borderId="0" fillId="0" fontId="3" numFmtId="165" xfId="0" applyAlignment="1" applyFont="1" applyNumberFormat="1">
      <alignment shrinkToFit="0" vertical="bottom" wrapText="0"/>
    </xf>
    <xf borderId="0" fillId="0" fontId="9" numFmtId="0" xfId="0" applyAlignment="1" applyFont="1">
      <alignment shrinkToFit="0" vertical="bottom" wrapText="1"/>
    </xf>
    <xf borderId="0" fillId="0" fontId="16" numFmtId="0" xfId="0" applyAlignment="1" applyFont="1">
      <alignment shrinkToFit="0" vertical="bottom" wrapText="0"/>
    </xf>
    <xf borderId="0" fillId="0" fontId="3" numFmtId="2" xfId="0" applyAlignment="1" applyFont="1" applyNumberFormat="1">
      <alignment shrinkToFit="0" vertical="bottom" wrapText="0"/>
    </xf>
    <xf borderId="0" fillId="0" fontId="3" numFmtId="3" xfId="0" applyAlignment="1" applyFont="1" applyNumberFormat="1">
      <alignment shrinkToFit="0" vertical="bottom" wrapText="0"/>
    </xf>
    <xf borderId="1" fillId="3" fontId="3" numFmtId="9" xfId="0" applyAlignment="1" applyBorder="1" applyFill="1" applyFont="1" applyNumberFormat="1">
      <alignment shrinkToFit="0" vertical="bottom" wrapText="0"/>
    </xf>
    <xf borderId="1" fillId="2" fontId="7" numFmtId="0" xfId="0" applyAlignment="1" applyBorder="1" applyFill="1" applyFont="1">
      <alignment horizontal="left" shrinkToFit="0" vertical="center" wrapText="1"/>
    </xf>
    <xf borderId="1" fillId="2" fontId="7" numFmtId="0" xfId="0" applyAlignment="1" applyBorder="1" applyFill="1" applyFont="1">
      <alignment horizontal="center" shrinkToFit="0" vertical="center" wrapText="1"/>
    </xf>
    <xf borderId="0" fillId="0" fontId="3" numFmtId="0" xfId="0" applyAlignment="1" applyFont="1">
      <alignment horizontal="center" shrinkToFit="0" vertical="bottom" wrapText="0"/>
    </xf>
    <xf borderId="1" fillId="4" fontId="3" numFmtId="165" xfId="0" applyAlignment="1" applyBorder="1" applyFill="1" applyFont="1" applyNumberFormat="1">
      <alignment shrinkToFit="0" vertical="bottom" wrapText="0"/>
    </xf>
    <xf borderId="1" fillId="4" fontId="3" numFmtId="171" xfId="0" applyAlignment="1" applyBorder="1" applyFill="1" applyFont="1" applyNumberFormat="1">
      <alignment shrinkToFit="0" vertical="center" wrapText="1"/>
    </xf>
    <xf borderId="1" fillId="4" fontId="3" numFmtId="1" xfId="0" applyAlignment="1" applyBorder="1" applyFill="1" applyFont="1" applyNumberFormat="1">
      <alignment horizontal="center" shrinkToFit="0" vertical="bottom" wrapText="0"/>
    </xf>
    <xf borderId="1" fillId="4" fontId="3" numFmtId="166" xfId="0" applyAlignment="1" applyBorder="1" applyFill="1" applyFont="1" applyNumberFormat="1">
      <alignment shrinkToFit="0" vertical="bottom" wrapText="0"/>
    </xf>
    <xf borderId="1" fillId="4" fontId="3" numFmtId="170" xfId="0" applyAlignment="1" applyBorder="1" applyFill="1" applyFont="1" applyNumberFormat="1">
      <alignment shrinkToFit="0" vertical="bottom" wrapText="0"/>
    </xf>
    <xf borderId="1" fillId="4" fontId="17" numFmtId="0" xfId="0" applyAlignment="1" applyBorder="1" applyFill="1" applyFont="1">
      <alignment shrinkToFit="0" vertical="bottom" wrapText="0"/>
    </xf>
    <xf borderId="0" fillId="0" fontId="9" numFmtId="0" xfId="0" applyAlignment="1" applyFont="1">
      <alignment shrinkToFit="0" vertical="center" wrapText="1"/>
    </xf>
    <xf borderId="6" fillId="2" fontId="7" numFmtId="0" xfId="0" applyAlignment="1" applyBorder="1" applyFill="1" applyFont="1">
      <alignment shrinkToFit="0" vertical="center" wrapText="1"/>
    </xf>
    <xf borderId="3" fillId="0" fontId="3" numFmtId="0" xfId="0" applyAlignment="1" applyBorder="1" applyFont="1">
      <alignment shrinkToFit="0" vertical="bottom" wrapText="0"/>
    </xf>
    <xf borderId="3" fillId="4" fontId="3" numFmtId="0" xfId="0" applyAlignment="1" applyBorder="1" applyFill="1" applyFont="1">
      <alignment shrinkToFit="0" vertical="bottom" wrapText="0"/>
    </xf>
    <xf borderId="2" fillId="4" fontId="3" numFmtId="167" xfId="0" applyAlignment="1" applyBorder="1" applyFill="1" applyFont="1" applyNumberFormat="1">
      <alignment shrinkToFit="0" vertical="bottom" wrapText="0"/>
    </xf>
    <xf borderId="2" fillId="4" fontId="14" numFmtId="167" xfId="0" applyAlignment="1" applyBorder="1" applyFill="1" applyFont="1" applyNumberFormat="1">
      <alignment shrinkToFit="0" vertical="bottom" wrapText="0"/>
    </xf>
    <xf borderId="0" fillId="0" fontId="18" numFmtId="0" xfId="0" applyAlignment="1" applyFont="1">
      <alignment shrinkToFit="0" vertical="bottom" wrapText="0"/>
    </xf>
    <xf borderId="0" fillId="0" fontId="18" numFmtId="165" xfId="0" applyAlignment="1" applyFont="1" applyNumberFormat="1">
      <alignment shrinkToFit="0" vertical="bottom" wrapText="0"/>
    </xf>
    <xf borderId="0" fillId="0" fontId="18" numFmtId="170" xfId="0" applyAlignment="1" applyFont="1" applyNumberFormat="1">
      <alignment shrinkToFit="0" vertical="bottom" wrapText="0"/>
    </xf>
    <xf borderId="0" fillId="0" fontId="18" numFmtId="166" xfId="0" applyAlignment="1" applyFont="1" applyNumberFormat="1">
      <alignment shrinkToFit="0" vertical="bottom" wrapText="0"/>
    </xf>
  </cellXfs>
  <cellStyles count="1">
    <cellStyle xfId="0" name="Normal" builtinId="0"/>
  </cellStyles>
  <dxfs count="1">
    <dxf>
      <font>
        <b/>
        <color rgb="FFC00000"/>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velopers.openai.com/api/docs/pric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30.0"/>
    <col customWidth="1" min="2" max="6" width="8.71"/>
  </cols>
  <sheetData>
    <row r="1" ht="17.25" customHeight="1">
      <c r="A1" s="2" t="s">
        <v>1</v>
      </c>
    </row>
    <row r="2" ht="46.5" customHeight="1">
      <c r="A2" s="4" t="s">
        <v>4</v>
      </c>
    </row>
    <row r="3" ht="31.5" customHeight="1">
      <c r="A3" s="6" t="s">
        <v>7</v>
      </c>
    </row>
    <row r="4" ht="31.5" customHeight="1">
      <c r="A4" s="6" t="s">
        <v>10</v>
      </c>
    </row>
    <row r="5" ht="46.5" customHeight="1">
      <c r="A5" s="6" t="s">
        <v>12</v>
      </c>
    </row>
    <row r="6" ht="46.5" customHeight="1">
      <c r="A6" s="6" t="s">
        <v>16</v>
      </c>
    </row>
    <row r="7" ht="31.5" customHeight="1">
      <c r="A7" s="6" t="s">
        <v>21</v>
      </c>
    </row>
    <row r="8" ht="16.5" customHeight="1">
      <c r="A8" s="6" t="s">
        <v>25</v>
      </c>
    </row>
    <row r="9" ht="46.5" customHeight="1">
      <c r="A9" s="6" t="s">
        <v>27</v>
      </c>
    </row>
    <row r="10" ht="16.5" customHeight="1">
      <c r="A10" s="6" t="s">
        <v>30</v>
      </c>
    </row>
    <row r="11" ht="31.5" customHeight="1">
      <c r="A11" s="6" t="s">
        <v>32</v>
      </c>
    </row>
    <row r="12" ht="31.5" customHeight="1">
      <c r="A12" s="6" t="s">
        <v>33</v>
      </c>
    </row>
    <row r="13" ht="31.5" customHeight="1">
      <c r="A13" s="6" t="s">
        <v>37</v>
      </c>
    </row>
    <row r="14" ht="16.5" customHeight="1">
      <c r="A14" s="6" t="s">
        <v>54</v>
      </c>
    </row>
    <row r="15" ht="15.0" customHeight="1">
      <c r="A15" s="22" t="s">
        <v>58</v>
      </c>
    </row>
    <row r="16" ht="15.0" customHeight="1">
      <c r="A16" s="25" t="s">
        <v>62</v>
      </c>
    </row>
    <row r="17" ht="15.0" customHeight="1">
      <c r="A17" s="28" t="s">
        <v>73</v>
      </c>
    </row>
    <row r="18" ht="15.0" customHeight="1">
      <c r="A18" s="4" t="s">
        <v>81</v>
      </c>
    </row>
    <row r="19">
      <c r="A19" s="29"/>
    </row>
    <row r="20">
      <c r="A20" s="29"/>
    </row>
    <row r="21" ht="15.75" customHeight="1">
      <c r="A21" s="29"/>
    </row>
    <row r="22" ht="15.75" customHeight="1">
      <c r="A22" s="29"/>
    </row>
    <row r="23" ht="15.75" customHeight="1">
      <c r="A23" s="29"/>
    </row>
    <row r="24" ht="15.75" customHeight="1">
      <c r="A24" s="29"/>
    </row>
    <row r="25" ht="15.75" customHeight="1">
      <c r="A25" s="29"/>
    </row>
    <row r="26" ht="15.75" customHeight="1">
      <c r="A26" s="29"/>
    </row>
    <row r="27" ht="15.75" customHeight="1">
      <c r="A27" s="29"/>
    </row>
    <row r="28" ht="15.75" customHeight="1">
      <c r="A28" s="29"/>
    </row>
    <row r="29" ht="15.75" customHeight="1">
      <c r="A29" s="29"/>
    </row>
    <row r="30" ht="15.75" customHeight="1">
      <c r="A30" s="29"/>
    </row>
    <row r="31" ht="15.75" customHeight="1">
      <c r="A31" s="29"/>
    </row>
    <row r="32" ht="15.75" customHeight="1">
      <c r="A32" s="29"/>
    </row>
    <row r="33" ht="15.75" customHeight="1">
      <c r="A33" s="29"/>
    </row>
    <row r="34" ht="15.75" customHeight="1">
      <c r="A34" s="29"/>
    </row>
    <row r="35" ht="15.75" customHeight="1">
      <c r="A35" s="29"/>
    </row>
    <row r="36" ht="15.75" customHeight="1">
      <c r="A36" s="29"/>
    </row>
    <row r="37" ht="15.75" customHeight="1">
      <c r="A37" s="29"/>
    </row>
    <row r="38" ht="15.75" customHeight="1">
      <c r="A38" s="29"/>
    </row>
    <row r="39" ht="15.75" customHeight="1">
      <c r="A39" s="29"/>
    </row>
    <row r="40" ht="15.75" customHeight="1">
      <c r="A40" s="29"/>
    </row>
    <row r="41" ht="15.75" customHeight="1">
      <c r="A41" s="29"/>
    </row>
    <row r="42" ht="15.75" customHeight="1">
      <c r="A42" s="29"/>
    </row>
    <row r="43" ht="15.75" customHeight="1">
      <c r="A43" s="29"/>
    </row>
    <row r="44" ht="15.75" customHeight="1">
      <c r="A44" s="29"/>
    </row>
    <row r="45" ht="15.75" customHeight="1">
      <c r="A45" s="29"/>
    </row>
    <row r="46" ht="15.75" customHeight="1">
      <c r="A46" s="29"/>
    </row>
    <row r="47" ht="15.75" customHeight="1">
      <c r="A47" s="29"/>
    </row>
    <row r="48" ht="15.75" customHeight="1">
      <c r="A48" s="29"/>
    </row>
    <row r="49" ht="15.75" customHeight="1">
      <c r="A49" s="29"/>
    </row>
    <row r="50" ht="15.75" customHeight="1">
      <c r="A50" s="29"/>
    </row>
    <row r="51" ht="15.75" customHeight="1">
      <c r="A51" s="29"/>
    </row>
    <row r="52" ht="15.75" customHeight="1">
      <c r="A52" s="29"/>
    </row>
    <row r="53" ht="15.75" customHeight="1">
      <c r="A53" s="29"/>
    </row>
    <row r="54" ht="15.75" customHeight="1">
      <c r="A54" s="29"/>
    </row>
    <row r="55" ht="15.75" customHeight="1">
      <c r="A55" s="29"/>
    </row>
    <row r="56" ht="15.75" customHeight="1">
      <c r="A56" s="29"/>
    </row>
    <row r="57" ht="15.75" customHeight="1">
      <c r="A57" s="29"/>
    </row>
    <row r="58" ht="15.75" customHeight="1">
      <c r="A58" s="29"/>
    </row>
    <row r="59" ht="15.75" customHeight="1">
      <c r="A59" s="29"/>
    </row>
    <row r="60" ht="15.75" customHeight="1">
      <c r="A60" s="29"/>
    </row>
    <row r="61" ht="15.75" customHeight="1">
      <c r="A61" s="29"/>
    </row>
    <row r="62" ht="15.75" customHeight="1">
      <c r="A62" s="29"/>
    </row>
    <row r="63" ht="15.75" customHeight="1">
      <c r="A63" s="29"/>
    </row>
    <row r="64" ht="15.75" customHeight="1">
      <c r="A64" s="29"/>
    </row>
    <row r="65" ht="15.75" customHeight="1">
      <c r="A65" s="29"/>
    </row>
    <row r="66" ht="15.75" customHeight="1">
      <c r="A66" s="29"/>
    </row>
    <row r="67" ht="15.75" customHeight="1">
      <c r="A67" s="29"/>
    </row>
    <row r="68" ht="15.75" customHeight="1">
      <c r="A68" s="29"/>
    </row>
    <row r="69" ht="15.75" customHeight="1">
      <c r="A69" s="29"/>
    </row>
    <row r="70" ht="15.75" customHeight="1">
      <c r="A70" s="29"/>
    </row>
    <row r="71" ht="15.75" customHeight="1">
      <c r="A71" s="29"/>
    </row>
    <row r="72" ht="15.75" customHeight="1">
      <c r="A72" s="29"/>
    </row>
    <row r="73" ht="15.75" customHeight="1">
      <c r="A73" s="29"/>
    </row>
    <row r="74" ht="15.75" customHeight="1">
      <c r="A74" s="29"/>
    </row>
    <row r="75" ht="15.75" customHeight="1">
      <c r="A75" s="29"/>
    </row>
    <row r="76" ht="15.75" customHeight="1">
      <c r="A76" s="29"/>
    </row>
    <row r="77" ht="15.75" customHeight="1">
      <c r="A77" s="29"/>
    </row>
    <row r="78" ht="15.75" customHeight="1">
      <c r="A78" s="29"/>
    </row>
    <row r="79" ht="15.75" customHeight="1">
      <c r="A79" s="29"/>
    </row>
    <row r="80" ht="15.75" customHeight="1">
      <c r="A80" s="29"/>
    </row>
    <row r="81" ht="15.75" customHeight="1">
      <c r="A81" s="29"/>
    </row>
    <row r="82" ht="15.75" customHeight="1">
      <c r="A82" s="29"/>
    </row>
    <row r="83" ht="15.75" customHeight="1">
      <c r="A83" s="29"/>
    </row>
    <row r="84" ht="15.75" customHeight="1">
      <c r="A84" s="29"/>
    </row>
    <row r="85" ht="15.75" customHeight="1">
      <c r="A85" s="29"/>
    </row>
    <row r="86" ht="15.75" customHeight="1">
      <c r="A86" s="29"/>
    </row>
    <row r="87" ht="15.75" customHeight="1">
      <c r="A87" s="29"/>
    </row>
    <row r="88" ht="15.75" customHeight="1">
      <c r="A88" s="29"/>
    </row>
    <row r="89" ht="15.75" customHeight="1">
      <c r="A89" s="29"/>
    </row>
    <row r="90" ht="15.75" customHeight="1">
      <c r="A90" s="29"/>
    </row>
    <row r="91" ht="15.75" customHeight="1">
      <c r="A91" s="29"/>
    </row>
    <row r="92" ht="15.75" customHeight="1">
      <c r="A92" s="29"/>
    </row>
    <row r="93" ht="15.75" customHeight="1">
      <c r="A93" s="29"/>
    </row>
    <row r="94" ht="15.75" customHeight="1">
      <c r="A94" s="29"/>
    </row>
    <row r="95" ht="15.75" customHeight="1">
      <c r="A95" s="29"/>
    </row>
    <row r="96" ht="15.75" customHeight="1">
      <c r="A96" s="29"/>
    </row>
    <row r="97" ht="15.75" customHeight="1">
      <c r="A97" s="29"/>
    </row>
    <row r="98" ht="15.75" customHeight="1">
      <c r="A98" s="29"/>
    </row>
    <row r="99" ht="15.75" customHeight="1">
      <c r="A99" s="29"/>
    </row>
    <row r="100" ht="15.75" customHeight="1">
      <c r="A100" s="29"/>
    </row>
    <row r="101" ht="15.75" customHeight="1">
      <c r="A101" s="29"/>
    </row>
    <row r="102" ht="15.75" customHeight="1">
      <c r="A102" s="29"/>
    </row>
    <row r="103" ht="15.75" customHeight="1">
      <c r="A103" s="29"/>
    </row>
    <row r="104" ht="15.75" customHeight="1">
      <c r="A104" s="29"/>
    </row>
    <row r="105" ht="15.75" customHeight="1">
      <c r="A105" s="29"/>
    </row>
    <row r="106" ht="15.75" customHeight="1">
      <c r="A106" s="29"/>
    </row>
    <row r="107" ht="15.75" customHeight="1">
      <c r="A107" s="29"/>
    </row>
    <row r="108" ht="15.75" customHeight="1">
      <c r="A108" s="29"/>
    </row>
    <row r="109" ht="15.75" customHeight="1">
      <c r="A109" s="29"/>
    </row>
    <row r="110" ht="15.75" customHeight="1">
      <c r="A110" s="29"/>
    </row>
    <row r="111" ht="15.75" customHeight="1">
      <c r="A111" s="29"/>
    </row>
    <row r="112" ht="15.75" customHeight="1">
      <c r="A112" s="29"/>
    </row>
    <row r="113" ht="15.75" customHeight="1">
      <c r="A113" s="29"/>
    </row>
    <row r="114" ht="15.75" customHeight="1">
      <c r="A114" s="29"/>
    </row>
    <row r="115" ht="15.75" customHeight="1">
      <c r="A115" s="29"/>
    </row>
    <row r="116" ht="15.75" customHeight="1">
      <c r="A116" s="29"/>
    </row>
    <row r="117" ht="15.75" customHeight="1">
      <c r="A117" s="29"/>
    </row>
    <row r="118" ht="15.75" customHeight="1">
      <c r="A118" s="29"/>
    </row>
    <row r="119" ht="15.75" customHeight="1">
      <c r="A119" s="29"/>
    </row>
    <row r="120" ht="15.75" customHeight="1">
      <c r="A120" s="29"/>
    </row>
    <row r="121" ht="15.75" customHeight="1">
      <c r="A121" s="29"/>
    </row>
    <row r="122" ht="15.75" customHeight="1">
      <c r="A122" s="29"/>
    </row>
    <row r="123" ht="15.75" customHeight="1">
      <c r="A123" s="29"/>
    </row>
    <row r="124" ht="15.75" customHeight="1">
      <c r="A124" s="29"/>
    </row>
    <row r="125" ht="15.75" customHeight="1">
      <c r="A125" s="29"/>
    </row>
    <row r="126" ht="15.75" customHeight="1">
      <c r="A126" s="29"/>
    </row>
    <row r="127" ht="15.75" customHeight="1">
      <c r="A127" s="29"/>
    </row>
    <row r="128" ht="15.75" customHeight="1">
      <c r="A128" s="29"/>
    </row>
    <row r="129" ht="15.75" customHeight="1">
      <c r="A129" s="29"/>
    </row>
    <row r="130" ht="15.75" customHeight="1">
      <c r="A130" s="29"/>
    </row>
    <row r="131" ht="15.75" customHeight="1">
      <c r="A131" s="29"/>
    </row>
    <row r="132" ht="15.75" customHeight="1">
      <c r="A132" s="29"/>
    </row>
    <row r="133" ht="15.75" customHeight="1">
      <c r="A133" s="29"/>
    </row>
    <row r="134" ht="15.75" customHeight="1">
      <c r="A134" s="29"/>
    </row>
    <row r="135" ht="15.75" customHeight="1">
      <c r="A135" s="29"/>
    </row>
    <row r="136" ht="15.75" customHeight="1">
      <c r="A136" s="29"/>
    </row>
    <row r="137" ht="15.75" customHeight="1">
      <c r="A137" s="29"/>
    </row>
    <row r="138" ht="15.75" customHeight="1">
      <c r="A138" s="29"/>
    </row>
    <row r="139" ht="15.75" customHeight="1">
      <c r="A139" s="29"/>
    </row>
    <row r="140" ht="15.75" customHeight="1">
      <c r="A140" s="29"/>
    </row>
    <row r="141" ht="15.75" customHeight="1">
      <c r="A141" s="29"/>
    </row>
    <row r="142" ht="15.75" customHeight="1">
      <c r="A142" s="29"/>
    </row>
    <row r="143" ht="15.75" customHeight="1">
      <c r="A143" s="29"/>
    </row>
    <row r="144" ht="15.75" customHeight="1">
      <c r="A144" s="29"/>
    </row>
    <row r="145" ht="15.75" customHeight="1">
      <c r="A145" s="29"/>
    </row>
    <row r="146" ht="15.75" customHeight="1">
      <c r="A146" s="29"/>
    </row>
    <row r="147" ht="15.75" customHeight="1">
      <c r="A147" s="29"/>
    </row>
    <row r="148" ht="15.75" customHeight="1">
      <c r="A148" s="29"/>
    </row>
    <row r="149" ht="15.75" customHeight="1">
      <c r="A149" s="29"/>
    </row>
    <row r="150" ht="15.75" customHeight="1">
      <c r="A150" s="29"/>
    </row>
    <row r="151" ht="15.75" customHeight="1">
      <c r="A151" s="29"/>
    </row>
    <row r="152" ht="15.75" customHeight="1">
      <c r="A152" s="29"/>
    </row>
    <row r="153" ht="15.75" customHeight="1">
      <c r="A153" s="29"/>
    </row>
    <row r="154" ht="15.75" customHeight="1">
      <c r="A154" s="29"/>
    </row>
    <row r="155" ht="15.75" customHeight="1">
      <c r="A155" s="29"/>
    </row>
    <row r="156" ht="15.75" customHeight="1">
      <c r="A156" s="29"/>
    </row>
    <row r="157" ht="15.75" customHeight="1">
      <c r="A157" s="29"/>
    </row>
    <row r="158" ht="15.75" customHeight="1">
      <c r="A158" s="29"/>
    </row>
    <row r="159" ht="15.75" customHeight="1">
      <c r="A159" s="29"/>
    </row>
    <row r="160" ht="15.75" customHeight="1">
      <c r="A160" s="29"/>
    </row>
    <row r="161" ht="15.75" customHeight="1">
      <c r="A161" s="29"/>
    </row>
    <row r="162" ht="15.75" customHeight="1">
      <c r="A162" s="29"/>
    </row>
    <row r="163" ht="15.75" customHeight="1">
      <c r="A163" s="29"/>
    </row>
    <row r="164" ht="15.75" customHeight="1">
      <c r="A164" s="29"/>
    </row>
    <row r="165" ht="15.75" customHeight="1">
      <c r="A165" s="29"/>
    </row>
    <row r="166" ht="15.75" customHeight="1">
      <c r="A166" s="29"/>
    </row>
    <row r="167" ht="15.75" customHeight="1">
      <c r="A167" s="29"/>
    </row>
    <row r="168" ht="15.75" customHeight="1">
      <c r="A168" s="29"/>
    </row>
    <row r="169" ht="15.75" customHeight="1">
      <c r="A169" s="29"/>
    </row>
    <row r="170" ht="15.75" customHeight="1">
      <c r="A170" s="29"/>
    </row>
    <row r="171" ht="15.75" customHeight="1">
      <c r="A171" s="29"/>
    </row>
    <row r="172" ht="15.75" customHeight="1">
      <c r="A172" s="29"/>
    </row>
    <row r="173" ht="15.75" customHeight="1">
      <c r="A173" s="29"/>
    </row>
    <row r="174" ht="15.75" customHeight="1">
      <c r="A174" s="29"/>
    </row>
    <row r="175" ht="15.75" customHeight="1">
      <c r="A175" s="29"/>
    </row>
    <row r="176" ht="15.75" customHeight="1">
      <c r="A176" s="29"/>
    </row>
    <row r="177" ht="15.75" customHeight="1">
      <c r="A177" s="29"/>
    </row>
    <row r="178" ht="15.75" customHeight="1">
      <c r="A178" s="29"/>
    </row>
    <row r="179" ht="15.75" customHeight="1">
      <c r="A179" s="29"/>
    </row>
    <row r="180" ht="15.75" customHeight="1">
      <c r="A180" s="29"/>
    </row>
    <row r="181" ht="15.75" customHeight="1">
      <c r="A181" s="29"/>
    </row>
    <row r="182" ht="15.75" customHeight="1">
      <c r="A182" s="29"/>
    </row>
    <row r="183" ht="15.75" customHeight="1">
      <c r="A183" s="29"/>
    </row>
    <row r="184" ht="15.75" customHeight="1">
      <c r="A184" s="29"/>
    </row>
    <row r="185" ht="15.75" customHeight="1">
      <c r="A185" s="29"/>
    </row>
    <row r="186" ht="15.75" customHeight="1">
      <c r="A186" s="29"/>
    </row>
    <row r="187" ht="15.75" customHeight="1">
      <c r="A187" s="29"/>
    </row>
    <row r="188" ht="15.75" customHeight="1">
      <c r="A188" s="29"/>
    </row>
    <row r="189" ht="15.75" customHeight="1">
      <c r="A189" s="29"/>
    </row>
    <row r="190" ht="15.75" customHeight="1">
      <c r="A190" s="29"/>
    </row>
    <row r="191" ht="15.75" customHeight="1">
      <c r="A191" s="29"/>
    </row>
    <row r="192" ht="15.75" customHeight="1">
      <c r="A192" s="29"/>
    </row>
    <row r="193" ht="15.75" customHeight="1">
      <c r="A193" s="29"/>
    </row>
    <row r="194" ht="15.75" customHeight="1">
      <c r="A194" s="29"/>
    </row>
    <row r="195" ht="15.75" customHeight="1">
      <c r="A195" s="29"/>
    </row>
    <row r="196" ht="15.75" customHeight="1">
      <c r="A196" s="29"/>
    </row>
    <row r="197" ht="15.75" customHeight="1">
      <c r="A197" s="29"/>
    </row>
    <row r="198" ht="15.75" customHeight="1">
      <c r="A198" s="29"/>
    </row>
    <row r="199" ht="15.75" customHeight="1">
      <c r="A199" s="29"/>
    </row>
    <row r="200" ht="15.75" customHeight="1">
      <c r="A200" s="29"/>
    </row>
    <row r="201" ht="15.75" customHeight="1">
      <c r="A201" s="29"/>
    </row>
    <row r="202" ht="15.75" customHeight="1">
      <c r="A202" s="29"/>
    </row>
    <row r="203" ht="15.75" customHeight="1">
      <c r="A203" s="29"/>
    </row>
    <row r="204" ht="15.75" customHeight="1">
      <c r="A204" s="29"/>
    </row>
    <row r="205" ht="15.75" customHeight="1">
      <c r="A205" s="29"/>
    </row>
    <row r="206" ht="15.75" customHeight="1">
      <c r="A206" s="29"/>
    </row>
    <row r="207" ht="15.75" customHeight="1">
      <c r="A207" s="29"/>
    </row>
    <row r="208" ht="15.75" customHeight="1">
      <c r="A208" s="29"/>
    </row>
    <row r="209" ht="15.75" customHeight="1">
      <c r="A209" s="29"/>
    </row>
    <row r="210" ht="15.75" customHeight="1">
      <c r="A210" s="29"/>
    </row>
    <row r="211" ht="15.75" customHeight="1">
      <c r="A211" s="29"/>
    </row>
    <row r="212" ht="15.75" customHeight="1">
      <c r="A212" s="29"/>
    </row>
    <row r="213" ht="15.75" customHeight="1">
      <c r="A213" s="29"/>
    </row>
    <row r="214" ht="15.75" customHeight="1">
      <c r="A214" s="29"/>
    </row>
    <row r="215" ht="15.75" customHeight="1">
      <c r="A215" s="29"/>
    </row>
    <row r="216" ht="15.75" customHeight="1">
      <c r="A216" s="29"/>
    </row>
    <row r="217" ht="15.75" customHeight="1">
      <c r="A217" s="29"/>
    </row>
    <row r="218" ht="15.75" customHeight="1">
      <c r="A218" s="29"/>
    </row>
    <row r="219" ht="15.75" customHeight="1">
      <c r="A219" s="29"/>
    </row>
    <row r="220" ht="15.75" customHeight="1">
      <c r="A220" s="2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52.0"/>
    <col customWidth="1" min="2" max="2" width="14.0"/>
    <col customWidth="1" min="3" max="4" width="46.0"/>
    <col customWidth="1" min="5" max="5" width="36.0"/>
    <col customWidth="1" min="6" max="6" width="8.71"/>
  </cols>
  <sheetData>
    <row r="1" ht="17.25" customHeight="1">
      <c r="A1" s="2" t="s">
        <v>3</v>
      </c>
      <c r="B1" s="3"/>
      <c r="C1" s="3"/>
      <c r="D1" s="3"/>
      <c r="E1" s="3"/>
    </row>
    <row r="2" ht="15.0" customHeight="1">
      <c r="A2" s="5" t="s">
        <v>5</v>
      </c>
      <c r="B2" s="3"/>
      <c r="C2" s="3"/>
      <c r="D2" s="3"/>
      <c r="E2" s="3"/>
    </row>
    <row r="3">
      <c r="A3" s="3"/>
      <c r="B3" s="3"/>
      <c r="C3" s="3"/>
      <c r="D3" s="3"/>
      <c r="E3" s="3"/>
    </row>
    <row r="4" ht="26.25" customHeight="1">
      <c r="A4" s="8" t="s">
        <v>11</v>
      </c>
      <c r="B4" s="8" t="s">
        <v>15</v>
      </c>
      <c r="C4" s="8" t="s">
        <v>17</v>
      </c>
      <c r="D4" s="8" t="s">
        <v>18</v>
      </c>
      <c r="E4" s="8" t="s">
        <v>19</v>
      </c>
    </row>
    <row r="5" ht="33.75" customHeight="1">
      <c r="A5" s="13" t="s">
        <v>29</v>
      </c>
      <c r="B5" s="18" t="s">
        <v>44</v>
      </c>
      <c r="C5" s="13" t="s">
        <v>46</v>
      </c>
      <c r="D5" s="13" t="s">
        <v>47</v>
      </c>
      <c r="E5" s="18"/>
    </row>
    <row r="6" ht="33.75" customHeight="1">
      <c r="A6" s="13" t="s">
        <v>48</v>
      </c>
      <c r="B6" s="18" t="s">
        <v>44</v>
      </c>
      <c r="C6" s="13" t="s">
        <v>51</v>
      </c>
      <c r="D6" s="13" t="s">
        <v>53</v>
      </c>
      <c r="E6" s="18"/>
    </row>
    <row r="7" ht="33.75" customHeight="1">
      <c r="A7" s="13" t="s">
        <v>56</v>
      </c>
      <c r="B7" s="18" t="s">
        <v>44</v>
      </c>
      <c r="C7" s="13" t="s">
        <v>59</v>
      </c>
      <c r="D7" s="13" t="s">
        <v>60</v>
      </c>
      <c r="E7" s="18"/>
    </row>
    <row r="8" ht="33.75" customHeight="1">
      <c r="A8" s="13" t="s">
        <v>61</v>
      </c>
      <c r="B8" s="18" t="s">
        <v>44</v>
      </c>
      <c r="C8" s="13" t="s">
        <v>63</v>
      </c>
      <c r="D8" s="13" t="s">
        <v>65</v>
      </c>
      <c r="E8" s="18"/>
    </row>
    <row r="9" ht="33.75" customHeight="1">
      <c r="A9" s="13" t="s">
        <v>67</v>
      </c>
      <c r="B9" s="18" t="s">
        <v>44</v>
      </c>
      <c r="C9" s="27" t="s">
        <v>71</v>
      </c>
      <c r="D9" s="13" t="s">
        <v>77</v>
      </c>
      <c r="E9" s="18"/>
    </row>
    <row r="10" ht="61.5" customHeight="1">
      <c r="A10" s="13" t="s">
        <v>78</v>
      </c>
      <c r="B10" s="18" t="s">
        <v>44</v>
      </c>
      <c r="C10" s="13" t="s">
        <v>84</v>
      </c>
      <c r="D10" s="13" t="s">
        <v>86</v>
      </c>
      <c r="E10" s="18" t="s">
        <v>89</v>
      </c>
    </row>
    <row r="11">
      <c r="A11" s="3"/>
      <c r="B11" s="3"/>
      <c r="C11" s="3"/>
      <c r="D11" s="3"/>
      <c r="E11" s="3"/>
    </row>
    <row r="12" ht="15.0" customHeight="1">
      <c r="A12" s="12" t="s">
        <v>92</v>
      </c>
      <c r="B12" s="31">
        <f>COUNTIF(B5:B10,"Có")</f>
        <v>0</v>
      </c>
      <c r="C12" s="3"/>
      <c r="D12" s="3"/>
      <c r="E12" s="3"/>
    </row>
    <row r="13" ht="15.0" customHeight="1">
      <c r="A13" s="5" t="s">
        <v>109</v>
      </c>
      <c r="B13" s="3"/>
      <c r="C13" s="3"/>
      <c r="D13" s="3"/>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outlineLevelRow="1"/>
  <cols>
    <col customWidth="1" min="1" max="1" width="6.0"/>
    <col customWidth="1" min="2" max="2" width="60.0"/>
    <col customWidth="1" min="3" max="5" width="14.0"/>
    <col customWidth="1" min="6" max="6" width="30.0"/>
    <col customWidth="1" min="7" max="7" width="34.0"/>
  </cols>
  <sheetData>
    <row r="1" ht="17.25" customHeight="1">
      <c r="A1" s="1" t="s">
        <v>2</v>
      </c>
      <c r="B1" s="3"/>
      <c r="C1" s="3"/>
      <c r="D1" s="3"/>
      <c r="E1" s="3"/>
      <c r="F1" s="3"/>
      <c r="G1" s="3"/>
    </row>
    <row r="2" ht="15.0" customHeight="1">
      <c r="A2" s="5" t="s">
        <v>9</v>
      </c>
      <c r="B2" s="3"/>
      <c r="C2" s="3"/>
      <c r="D2" s="3"/>
      <c r="E2" s="3"/>
      <c r="F2" s="3"/>
      <c r="G2" s="3"/>
    </row>
    <row r="3" ht="31.5" customHeight="1">
      <c r="A3" s="10" t="s">
        <v>14</v>
      </c>
    </row>
    <row r="4">
      <c r="A4" s="3"/>
      <c r="B4" s="3"/>
      <c r="C4" s="3"/>
      <c r="D4" s="3"/>
      <c r="E4" s="3"/>
      <c r="F4" s="3"/>
      <c r="G4" s="3"/>
    </row>
    <row r="5" ht="15.0" customHeight="1">
      <c r="A5" s="12" t="s">
        <v>28</v>
      </c>
      <c r="B5" s="3"/>
      <c r="C5" s="3"/>
      <c r="D5" s="3"/>
      <c r="E5" s="3"/>
      <c r="F5" s="3"/>
      <c r="G5" s="3"/>
    </row>
    <row r="6" ht="31.5" customHeight="1">
      <c r="A6" s="9" t="s">
        <v>34</v>
      </c>
      <c r="B6" s="9" t="s">
        <v>35</v>
      </c>
      <c r="C6" s="9" t="s">
        <v>38</v>
      </c>
      <c r="D6" s="9" t="s">
        <v>39</v>
      </c>
      <c r="E6" s="9" t="s">
        <v>40</v>
      </c>
      <c r="F6" s="9" t="s">
        <v>41</v>
      </c>
      <c r="G6" s="9" t="s">
        <v>42</v>
      </c>
    </row>
    <row r="7" ht="30.0" customHeight="1">
      <c r="A7" s="19">
        <v>1.0</v>
      </c>
      <c r="B7" s="11" t="s">
        <v>49</v>
      </c>
      <c r="C7" s="21">
        <v>1000.0</v>
      </c>
      <c r="D7" s="21"/>
      <c r="E7" s="21"/>
      <c r="F7" s="24"/>
      <c r="G7" s="26" t="s">
        <v>70</v>
      </c>
    </row>
    <row r="8" ht="30.0" customHeight="1">
      <c r="A8" s="19">
        <v>2.0</v>
      </c>
      <c r="B8" s="11" t="s">
        <v>75</v>
      </c>
      <c r="C8" s="21">
        <v>300.0</v>
      </c>
      <c r="D8" s="21"/>
      <c r="E8" s="21"/>
      <c r="F8" s="24" t="s">
        <v>80</v>
      </c>
      <c r="G8" s="26" t="s">
        <v>82</v>
      </c>
    </row>
    <row r="9" ht="30.0" customHeight="1">
      <c r="A9" s="19">
        <v>3.0</v>
      </c>
      <c r="B9" s="11" t="s">
        <v>83</v>
      </c>
      <c r="C9" s="21">
        <v>360.0</v>
      </c>
      <c r="D9" s="21"/>
      <c r="E9" s="21"/>
      <c r="F9" s="24" t="s">
        <v>87</v>
      </c>
      <c r="G9" s="26" t="s">
        <v>88</v>
      </c>
    </row>
    <row r="10" ht="30.0" customHeight="1">
      <c r="A10" s="19">
        <v>4.0</v>
      </c>
      <c r="B10" s="11" t="s">
        <v>90</v>
      </c>
      <c r="C10" s="21">
        <v>50.0</v>
      </c>
      <c r="D10" s="21">
        <v>80.0</v>
      </c>
      <c r="E10" s="21">
        <v>110.0</v>
      </c>
      <c r="F10" s="24"/>
      <c r="G10" s="26" t="s">
        <v>91</v>
      </c>
    </row>
    <row r="11" ht="30.0" customHeight="1">
      <c r="A11" s="19">
        <v>5.0</v>
      </c>
      <c r="B11" s="11" t="s">
        <v>93</v>
      </c>
      <c r="C11" s="21">
        <v>240.0</v>
      </c>
      <c r="D11" s="21"/>
      <c r="E11" s="21"/>
      <c r="F11" s="24" t="s">
        <v>94</v>
      </c>
      <c r="G11" s="26" t="s">
        <v>95</v>
      </c>
    </row>
    <row r="12" ht="30.0" customHeight="1">
      <c r="A12" s="19">
        <v>6.0</v>
      </c>
      <c r="B12" s="11" t="s">
        <v>96</v>
      </c>
      <c r="C12" s="21"/>
      <c r="D12" s="21">
        <v>90.0</v>
      </c>
      <c r="E12" s="21"/>
      <c r="F12" s="24" t="s">
        <v>97</v>
      </c>
      <c r="G12" s="26" t="s">
        <v>98</v>
      </c>
    </row>
    <row r="13" ht="30.0" customHeight="1">
      <c r="A13" s="19">
        <v>7.0</v>
      </c>
      <c r="B13" s="11" t="s">
        <v>99</v>
      </c>
      <c r="C13" s="21">
        <v>15.0</v>
      </c>
      <c r="D13" s="21">
        <v>25.0</v>
      </c>
      <c r="E13" s="21">
        <v>35.0</v>
      </c>
      <c r="F13" s="24" t="s">
        <v>100</v>
      </c>
      <c r="G13" s="26" t="s">
        <v>101</v>
      </c>
    </row>
    <row r="14" ht="30.0" customHeight="1">
      <c r="A14" s="19">
        <v>8.0</v>
      </c>
      <c r="B14" s="11" t="s">
        <v>102</v>
      </c>
      <c r="C14" s="21">
        <v>10.0</v>
      </c>
      <c r="D14" s="21">
        <v>10.0</v>
      </c>
      <c r="E14" s="21">
        <v>10.0</v>
      </c>
      <c r="F14" s="24"/>
      <c r="G14" s="26" t="s">
        <v>103</v>
      </c>
    </row>
    <row r="15" ht="30.0" customHeight="1">
      <c r="A15" s="19">
        <v>9.0</v>
      </c>
      <c r="B15" s="11" t="s">
        <v>104</v>
      </c>
      <c r="C15" s="21">
        <v>120.0</v>
      </c>
      <c r="D15" s="21">
        <v>120.0</v>
      </c>
      <c r="E15" s="21">
        <v>120.0</v>
      </c>
      <c r="F15" s="24"/>
      <c r="G15" s="26" t="s">
        <v>105</v>
      </c>
    </row>
    <row r="16" ht="30.0" customHeight="1">
      <c r="A16" s="19">
        <v>10.0</v>
      </c>
      <c r="B16" s="11" t="s">
        <v>107</v>
      </c>
      <c r="C16" s="21">
        <v>20.0</v>
      </c>
      <c r="D16" s="21">
        <v>20.0</v>
      </c>
      <c r="E16" s="21">
        <v>20.0</v>
      </c>
      <c r="F16" s="24"/>
      <c r="G16" s="26" t="s">
        <v>105</v>
      </c>
    </row>
    <row r="17" ht="30.0" customHeight="1">
      <c r="A17" s="19">
        <v>11.0</v>
      </c>
      <c r="B17" s="11" t="s">
        <v>111</v>
      </c>
      <c r="C17" s="21">
        <v>0.0</v>
      </c>
      <c r="D17" s="21">
        <v>0.0</v>
      </c>
      <c r="E17" s="21">
        <v>0.0</v>
      </c>
      <c r="F17" s="24" t="s">
        <v>114</v>
      </c>
      <c r="G17" s="26" t="s">
        <v>116</v>
      </c>
    </row>
    <row r="18">
      <c r="A18" s="3"/>
      <c r="B18" s="3"/>
      <c r="C18" s="3"/>
      <c r="D18" s="3"/>
      <c r="E18" s="3"/>
      <c r="F18" s="3"/>
      <c r="G18" s="3"/>
    </row>
    <row r="19" ht="16.5" customHeight="1">
      <c r="A19" s="33" t="s">
        <v>120</v>
      </c>
    </row>
    <row r="20" ht="15.0" customHeight="1">
      <c r="A20" s="3"/>
      <c r="B20" s="9" t="s">
        <v>124</v>
      </c>
      <c r="C20" s="9" t="s">
        <v>38</v>
      </c>
      <c r="D20" s="9" t="s">
        <v>39</v>
      </c>
      <c r="E20" s="9" t="s">
        <v>40</v>
      </c>
      <c r="F20" s="9" t="s">
        <v>127</v>
      </c>
      <c r="G20" s="9" t="s">
        <v>129</v>
      </c>
    </row>
    <row r="21" ht="15.0" customHeight="1">
      <c r="A21" s="3"/>
      <c r="B21" s="34" t="s">
        <v>132</v>
      </c>
      <c r="C21" s="35">
        <v>70.0</v>
      </c>
      <c r="D21" s="35">
        <v>190.0</v>
      </c>
      <c r="E21" s="35">
        <v>130.0</v>
      </c>
      <c r="F21" s="36">
        <f t="shared" ref="F21:F31" si="1">IF(COUNT(C21:E21)=0,"",SUM(C21:E21))</f>
        <v>390</v>
      </c>
      <c r="G21" s="3"/>
    </row>
    <row r="22" ht="15.0" customHeight="1">
      <c r="A22" s="3"/>
      <c r="B22" s="34" t="s">
        <v>148</v>
      </c>
      <c r="C22" s="35">
        <v>25.0</v>
      </c>
      <c r="D22" s="35">
        <v>35.0</v>
      </c>
      <c r="E22" s="35">
        <v>45.0</v>
      </c>
      <c r="F22" s="36">
        <f t="shared" si="1"/>
        <v>105</v>
      </c>
      <c r="G22" s="3"/>
    </row>
    <row r="23" ht="15.0" customHeight="1">
      <c r="A23" s="3"/>
      <c r="B23" s="37" t="s">
        <v>150</v>
      </c>
      <c r="C23" s="35">
        <f t="shared" ref="C23:E23" si="2">C21-C22</f>
        <v>45</v>
      </c>
      <c r="D23" s="35">
        <f t="shared" si="2"/>
        <v>155</v>
      </c>
      <c r="E23" s="35">
        <f t="shared" si="2"/>
        <v>85</v>
      </c>
      <c r="F23" s="38">
        <f t="shared" si="1"/>
        <v>285</v>
      </c>
      <c r="G23" s="39" t="str">
        <f>IF(COUNT(C21:E21,C22:E22,C23:E23)&lt;9,"Chưa điền",IF(AND(ABS(C23-(C21-C22))&lt;0.01,ABS(D23-(D21-D22))&lt;0.01,ABS(E23-(E21-E22))&lt;0.01),"Đạt","Xem lại phép trừ"))</f>
        <v>Đạt</v>
      </c>
    </row>
    <row r="24" ht="15.0" customHeight="1">
      <c r="A24" s="3"/>
      <c r="B24" s="34" t="s">
        <v>154</v>
      </c>
      <c r="C24" s="35">
        <v>140.0</v>
      </c>
      <c r="D24" s="35">
        <v>140.0</v>
      </c>
      <c r="E24" s="35">
        <v>140.0</v>
      </c>
      <c r="F24" s="36">
        <f t="shared" si="1"/>
        <v>420</v>
      </c>
      <c r="G24" s="3"/>
    </row>
    <row r="25" ht="15.0" customHeight="1">
      <c r="A25" s="3"/>
      <c r="B25" s="37" t="s">
        <v>155</v>
      </c>
      <c r="C25" s="35">
        <f t="shared" ref="C25:E25" si="3">C23-C24</f>
        <v>-95</v>
      </c>
      <c r="D25" s="35">
        <f t="shared" si="3"/>
        <v>15</v>
      </c>
      <c r="E25" s="35">
        <f t="shared" si="3"/>
        <v>-55</v>
      </c>
      <c r="F25" s="38">
        <f t="shared" si="1"/>
        <v>-135</v>
      </c>
      <c r="G25" s="39" t="str">
        <f>IF(COUNT(C23:E23,C24:E24,C25:E25)&lt;9,"Chưa điền",IF(AND(ABS(C25-(C23-C24))&lt;0.01,ABS(D25-(D23-D24))&lt;0.01,ABS(E25-(E23-E24))&lt;0.01),"Đạt","Xem lại phép trừ"))</f>
        <v>Đạt</v>
      </c>
    </row>
    <row r="26" ht="15.0" customHeight="1">
      <c r="A26" s="3"/>
      <c r="B26" s="34" t="s">
        <v>163</v>
      </c>
      <c r="C26" s="35">
        <v>10.0</v>
      </c>
      <c r="D26" s="35">
        <v>10.0</v>
      </c>
      <c r="E26" s="35">
        <v>10.0</v>
      </c>
      <c r="F26" s="36">
        <f t="shared" si="1"/>
        <v>30</v>
      </c>
      <c r="G26" s="3"/>
    </row>
    <row r="27" ht="15.0" customHeight="1">
      <c r="A27" s="3"/>
      <c r="B27" s="37" t="s">
        <v>164</v>
      </c>
      <c r="C27" s="35">
        <f t="shared" ref="C27:E27" si="4">C25-C26</f>
        <v>-105</v>
      </c>
      <c r="D27" s="35">
        <f t="shared" si="4"/>
        <v>5</v>
      </c>
      <c r="E27" s="35">
        <f t="shared" si="4"/>
        <v>-65</v>
      </c>
      <c r="F27" s="38">
        <f t="shared" si="1"/>
        <v>-165</v>
      </c>
      <c r="G27" s="39" t="str">
        <f>IF(COUNT(C25:E25,C26:E26,C27:E27)&lt;9,"Chưa điền",IF(AND(ABS(C27-(C25-C26))&lt;0.01,ABS(D27-(D25-D26))&lt;0.01,ABS(E27-(E25-E26))&lt;0.01),"Đạt","Xem lại phép trừ"))</f>
        <v>Đạt</v>
      </c>
    </row>
    <row r="28" ht="15.0" customHeight="1">
      <c r="A28" s="3"/>
      <c r="B28" s="34" t="s">
        <v>165</v>
      </c>
      <c r="C28" s="35">
        <v>3.0</v>
      </c>
      <c r="D28" s="35">
        <v>3.0</v>
      </c>
      <c r="E28" s="35">
        <v>3.0</v>
      </c>
      <c r="F28" s="36">
        <f t="shared" si="1"/>
        <v>9</v>
      </c>
      <c r="G28" s="3"/>
    </row>
    <row r="29" ht="15.0" customHeight="1">
      <c r="A29" s="3"/>
      <c r="B29" s="37" t="s">
        <v>166</v>
      </c>
      <c r="C29" s="35">
        <f t="shared" ref="C29:E29" si="5">C27-C28</f>
        <v>-108</v>
      </c>
      <c r="D29" s="35">
        <f t="shared" si="5"/>
        <v>2</v>
      </c>
      <c r="E29" s="35">
        <f t="shared" si="5"/>
        <v>-68</v>
      </c>
      <c r="F29" s="38">
        <f t="shared" si="1"/>
        <v>-174</v>
      </c>
      <c r="G29" s="39" t="str">
        <f>IF(COUNT(C27:E27,C28:E28,C29:E29)&lt;9,"Chưa điền",IF(AND(ABS(C29-(C27-C28))&lt;0.01,ABS(D29-(D27-D28))&lt;0.01,ABS(E29-(E27-E28))&lt;0.01),"Đạt","Xem lại phép trừ"))</f>
        <v>Đạt</v>
      </c>
    </row>
    <row r="30" ht="15.0" customHeight="1">
      <c r="A30" s="3"/>
      <c r="B30" s="34" t="s">
        <v>111</v>
      </c>
      <c r="C30" s="35">
        <v>0.0</v>
      </c>
      <c r="D30" s="35">
        <v>0.0</v>
      </c>
      <c r="E30" s="35">
        <v>0.0</v>
      </c>
      <c r="F30" s="36">
        <f t="shared" si="1"/>
        <v>0</v>
      </c>
      <c r="G30" s="3"/>
    </row>
    <row r="31" ht="15.0" customHeight="1">
      <c r="A31" s="3"/>
      <c r="B31" s="37" t="s">
        <v>167</v>
      </c>
      <c r="C31" s="35">
        <f t="shared" ref="C31:E31" si="6">C29-C30</f>
        <v>-108</v>
      </c>
      <c r="D31" s="35">
        <f t="shared" si="6"/>
        <v>2</v>
      </c>
      <c r="E31" s="35">
        <f t="shared" si="6"/>
        <v>-68</v>
      </c>
      <c r="F31" s="38">
        <f t="shared" si="1"/>
        <v>-174</v>
      </c>
      <c r="G31" s="39" t="str">
        <f>IF(COUNT(C29:E29,C30:E30,C31:E31)&lt;9,"Chưa điền",IF(AND(ABS(C31-(C29-C30))&lt;0.01,ABS(D31-(D29-D30))&lt;0.01,ABS(E31-(E29-E30))&lt;0.01),"Đạt","Xem lại phép trừ"))</f>
        <v>Đạt</v>
      </c>
    </row>
    <row r="32" ht="15.0" customHeight="1">
      <c r="A32" s="3"/>
      <c r="B32" s="34" t="s">
        <v>168</v>
      </c>
      <c r="C32" s="43">
        <f t="shared" ref="C32:F32" si="7">IFERROR(C23/C21,"")</f>
        <v>0.6428571429</v>
      </c>
      <c r="D32" s="43">
        <f t="shared" si="7"/>
        <v>0.8157894737</v>
      </c>
      <c r="E32" s="43">
        <f t="shared" si="7"/>
        <v>0.6538461538</v>
      </c>
      <c r="F32" s="43">
        <f t="shared" si="7"/>
        <v>0.7307692308</v>
      </c>
      <c r="G32" s="3"/>
    </row>
    <row r="33" ht="45.0" customHeight="1">
      <c r="A33" s="3"/>
      <c r="B33" s="44" t="s">
        <v>169</v>
      </c>
      <c r="C33" s="3"/>
      <c r="D33" s="3"/>
      <c r="E33" s="3"/>
      <c r="F33" s="3"/>
      <c r="G33" s="45" t="str">
        <f>IF(COUNT(C31:E31)&lt;3,"Chưa điền",IF(ABS(F31+174)&lt;0.01,"Đạt: đã ghi theo kỳ","Chưa đúng: có giao dịch đang ghi theo ngày tiền vào ra (xem cột G, dòng 7–17)"))</f>
        <v>Đạt: đã ghi theo kỳ</v>
      </c>
    </row>
    <row r="34" ht="16.5" customHeight="1">
      <c r="A34" s="33" t="s">
        <v>170</v>
      </c>
    </row>
    <row r="35" ht="15.0" customHeight="1">
      <c r="A35" s="3"/>
      <c r="B35" s="9" t="s">
        <v>124</v>
      </c>
      <c r="C35" s="9" t="s">
        <v>171</v>
      </c>
      <c r="D35" s="3"/>
      <c r="E35" s="3"/>
      <c r="F35" s="3"/>
      <c r="G35" s="9" t="s">
        <v>129</v>
      </c>
    </row>
    <row r="36" ht="15.0" customHeight="1">
      <c r="A36" s="3"/>
      <c r="B36" s="12" t="s">
        <v>172</v>
      </c>
      <c r="C36" s="3"/>
      <c r="D36" s="3"/>
      <c r="E36" s="3"/>
      <c r="F36" s="3"/>
      <c r="G36" s="3"/>
    </row>
    <row r="37" ht="15.0" customHeight="1">
      <c r="A37" s="3"/>
      <c r="B37" s="34" t="s">
        <v>173</v>
      </c>
      <c r="C37" s="35">
        <v>921.0</v>
      </c>
      <c r="D37" s="3"/>
      <c r="E37" s="3"/>
      <c r="F37" s="3"/>
      <c r="G37" s="3"/>
    </row>
    <row r="38" ht="15.0" customHeight="1">
      <c r="A38" s="3"/>
      <c r="B38" s="34" t="s">
        <v>174</v>
      </c>
      <c r="C38" s="35">
        <v>90.0</v>
      </c>
      <c r="D38" s="3"/>
      <c r="E38" s="3"/>
      <c r="F38" s="3"/>
      <c r="G38" s="3"/>
    </row>
    <row r="39" ht="15.0" customHeight="1">
      <c r="A39" s="3"/>
      <c r="B39" s="34" t="s">
        <v>175</v>
      </c>
      <c r="C39" s="35">
        <v>360.0</v>
      </c>
      <c r="D39" s="3"/>
      <c r="E39" s="3"/>
      <c r="F39" s="3"/>
      <c r="G39" s="3"/>
    </row>
    <row r="40" ht="15.0" customHeight="1">
      <c r="A40" s="3"/>
      <c r="B40" s="34" t="s">
        <v>176</v>
      </c>
      <c r="C40" s="35">
        <v>-30.0</v>
      </c>
      <c r="D40" s="3"/>
      <c r="E40" s="3"/>
      <c r="F40" s="3"/>
      <c r="G40" s="3"/>
    </row>
    <row r="41" ht="15.0" customHeight="1">
      <c r="A41" s="3"/>
      <c r="B41" s="37" t="s">
        <v>177</v>
      </c>
      <c r="C41" s="35">
        <f>SUM(C37:C40)</f>
        <v>1341</v>
      </c>
      <c r="D41" s="3"/>
      <c r="E41" s="3"/>
      <c r="F41" s="3"/>
      <c r="G41" s="39" t="str">
        <f>IF(COUNT(C37:C41)&lt;5,"Chưa điền",IF(ABS(C41-SUM(C37:C40))&lt;0.01,"Đạt","Xem lại phép cộng"))</f>
        <v>Đạt</v>
      </c>
    </row>
    <row r="42" ht="15.0" customHeight="1">
      <c r="A42" s="3"/>
      <c r="B42" s="12" t="s">
        <v>178</v>
      </c>
      <c r="C42" s="3"/>
      <c r="D42" s="3"/>
      <c r="E42" s="3"/>
      <c r="F42" s="3"/>
      <c r="G42" s="3"/>
    </row>
    <row r="43" ht="15.0" customHeight="1">
      <c r="A43" s="3"/>
      <c r="B43" s="34" t="s">
        <v>179</v>
      </c>
      <c r="C43" s="35">
        <v>35.0</v>
      </c>
      <c r="D43" s="3"/>
      <c r="E43" s="3"/>
      <c r="F43" s="3"/>
      <c r="G43" s="3"/>
    </row>
    <row r="44" ht="15.0" customHeight="1">
      <c r="A44" s="3"/>
      <c r="B44" s="34" t="s">
        <v>180</v>
      </c>
      <c r="C44" s="35">
        <v>180.0</v>
      </c>
      <c r="D44" s="3"/>
      <c r="E44" s="3"/>
      <c r="F44" s="3"/>
      <c r="G44" s="3"/>
    </row>
    <row r="45" ht="15.0" customHeight="1">
      <c r="A45" s="3"/>
      <c r="B45" s="34" t="s">
        <v>181</v>
      </c>
      <c r="C45" s="35">
        <v>300.0</v>
      </c>
      <c r="D45" s="3"/>
      <c r="E45" s="3"/>
      <c r="F45" s="3"/>
      <c r="G45" s="3"/>
    </row>
    <row r="46" ht="15.0" customHeight="1">
      <c r="A46" s="3"/>
      <c r="B46" s="37" t="s">
        <v>182</v>
      </c>
      <c r="C46" s="35">
        <f>SUM(C43:C45)</f>
        <v>515</v>
      </c>
      <c r="D46" s="3"/>
      <c r="E46" s="3"/>
      <c r="F46" s="3"/>
      <c r="G46" s="39" t="str">
        <f>IF(COUNT(C43:C46)&lt;4,"Chưa điền",IF(ABS(C46-SUM(C43:C45))&lt;0.01,"Đạt","Xem lại phép cộng"))</f>
        <v>Đạt</v>
      </c>
    </row>
    <row r="47" ht="15.0" customHeight="1">
      <c r="A47" s="3"/>
      <c r="B47" s="12" t="s">
        <v>183</v>
      </c>
      <c r="C47" s="3"/>
      <c r="D47" s="3"/>
      <c r="E47" s="3"/>
      <c r="F47" s="3"/>
      <c r="G47" s="3"/>
    </row>
    <row r="48" ht="15.0" customHeight="1">
      <c r="A48" s="3"/>
      <c r="B48" s="34" t="s">
        <v>184</v>
      </c>
      <c r="C48" s="35">
        <v>1000.0</v>
      </c>
      <c r="D48" s="3"/>
      <c r="E48" s="3"/>
      <c r="F48" s="3"/>
      <c r="G48" s="3"/>
    </row>
    <row r="49" ht="15.0" customHeight="1">
      <c r="A49" s="3"/>
      <c r="B49" s="34" t="s">
        <v>185</v>
      </c>
      <c r="C49" s="35">
        <v>-174.0</v>
      </c>
      <c r="D49" s="3"/>
      <c r="E49" s="3"/>
      <c r="F49" s="3"/>
      <c r="G49" s="3"/>
    </row>
    <row r="50" ht="15.0" customHeight="1">
      <c r="A50" s="3"/>
      <c r="B50" s="37" t="s">
        <v>186</v>
      </c>
      <c r="C50" s="35">
        <f>C48+C49</f>
        <v>826</v>
      </c>
      <c r="D50" s="3"/>
      <c r="E50" s="3"/>
      <c r="F50" s="3"/>
      <c r="G50" s="39" t="str">
        <f>IF(COUNT(C48:C50)&lt;3,"Chưa điền",IF(ABS(C50-SUM(C48:C49))&lt;0.01,"Đạt","Xem lại phép cộng"))</f>
        <v>Đạt</v>
      </c>
    </row>
    <row r="51" ht="15.0" customHeight="1">
      <c r="A51" s="3"/>
      <c r="B51" s="34" t="s">
        <v>187</v>
      </c>
      <c r="C51" s="35">
        <f>C46+C50</f>
        <v>1341</v>
      </c>
      <c r="D51" s="3"/>
      <c r="E51" s="3"/>
      <c r="F51" s="3"/>
      <c r="G51" s="39" t="str">
        <f>IF(COUNT(C46,C50,C51)&lt;3,"Chưa điền",IF(ABS(C51-(C46+C50))&lt;0.01,"Đạt","Xem lại phép cộng"))</f>
        <v>Đạt</v>
      </c>
    </row>
    <row r="52" ht="15.0" customHeight="1">
      <c r="A52" s="3"/>
      <c r="B52" s="37" t="s">
        <v>188</v>
      </c>
      <c r="C52" s="3"/>
      <c r="D52" s="3"/>
      <c r="E52" s="3"/>
      <c r="F52" s="3"/>
      <c r="G52" s="46" t="str">
        <f>IF(COUNT(C41,C51)&lt;2,"Chưa điền",IF(ABS(C41-C51)&lt;0.01,"Đạt: bảng đã cân","Chưa cân: tìm khoản ghi sai"))</f>
        <v>Đạt: bảng đã cân</v>
      </c>
    </row>
    <row r="53" ht="15.0" customHeight="1">
      <c r="A53" s="3"/>
      <c r="B53" s="37" t="s">
        <v>189</v>
      </c>
      <c r="C53" s="3"/>
      <c r="D53" s="3"/>
      <c r="E53" s="3"/>
      <c r="F53" s="3"/>
      <c r="G53" s="46" t="str">
        <f>IF(COUNT(C49,F31)&lt;2,"Chưa điền",IF(ABS(C49-F31)&lt;0.01,"Đạt","Chưa khớp bài 1"))</f>
        <v>Đạt</v>
      </c>
    </row>
    <row r="54" ht="15.75" customHeight="1">
      <c r="A54" s="3"/>
      <c r="B54" s="3"/>
      <c r="C54" s="3"/>
      <c r="D54" s="3"/>
      <c r="E54" s="3"/>
      <c r="F54" s="3"/>
      <c r="G54" s="3"/>
    </row>
    <row r="55" ht="16.5" customHeight="1">
      <c r="A55" s="33" t="s">
        <v>190</v>
      </c>
    </row>
    <row r="56" ht="15.0" customHeight="1">
      <c r="A56" s="3"/>
      <c r="B56" s="9" t="s">
        <v>124</v>
      </c>
      <c r="C56" s="9" t="s">
        <v>171</v>
      </c>
      <c r="D56" s="3"/>
      <c r="E56" s="3"/>
      <c r="F56" s="3"/>
      <c r="G56" s="9" t="s">
        <v>129</v>
      </c>
    </row>
    <row r="57" ht="15.0" customHeight="1">
      <c r="A57" s="3"/>
      <c r="B57" s="34" t="s">
        <v>167</v>
      </c>
      <c r="C57" s="35">
        <v>-174.0</v>
      </c>
      <c r="D57" s="3"/>
      <c r="E57" s="3"/>
      <c r="F57" s="3"/>
      <c r="G57" s="3"/>
    </row>
    <row r="58" ht="16.5" customHeight="1">
      <c r="A58" s="3"/>
      <c r="B58" s="13" t="s">
        <v>191</v>
      </c>
      <c r="C58" s="35">
        <v>30.0</v>
      </c>
      <c r="D58" s="3"/>
      <c r="E58" s="3"/>
      <c r="F58" s="3"/>
      <c r="G58" s="3"/>
    </row>
    <row r="59" ht="31.5" customHeight="1">
      <c r="A59" s="3"/>
      <c r="B59" s="13" t="s">
        <v>192</v>
      </c>
      <c r="C59" s="35">
        <v>-90.0</v>
      </c>
      <c r="D59" s="3"/>
      <c r="E59" s="3"/>
      <c r="F59" s="3"/>
      <c r="G59" s="3"/>
    </row>
    <row r="60" ht="31.5" customHeight="1">
      <c r="A60" s="3"/>
      <c r="B60" s="13" t="s">
        <v>193</v>
      </c>
      <c r="C60" s="35">
        <v>35.0</v>
      </c>
      <c r="D60" s="3"/>
      <c r="E60" s="3"/>
      <c r="F60" s="3"/>
      <c r="G60" s="3"/>
    </row>
    <row r="61" ht="16.5" customHeight="1">
      <c r="A61" s="3"/>
      <c r="B61" s="13" t="s">
        <v>194</v>
      </c>
      <c r="C61" s="35">
        <v>180.0</v>
      </c>
      <c r="D61" s="3"/>
      <c r="E61" s="3"/>
      <c r="F61" s="3"/>
      <c r="G61" s="3"/>
    </row>
    <row r="62" ht="15.0" customHeight="1">
      <c r="A62" s="3"/>
      <c r="B62" s="37" t="s">
        <v>195</v>
      </c>
      <c r="C62" s="35">
        <f>SUM(C57:C61)</f>
        <v>-19</v>
      </c>
      <c r="D62" s="3"/>
      <c r="E62" s="3"/>
      <c r="F62" s="3"/>
      <c r="G62" s="39" t="str">
        <f>IF(COUNT(C57:C62)&lt;6,"Chưa điền",IF(ABS(C62-SUM(C57:C61))&lt;0.01,"Đạt","Xem lại phép cộng"))</f>
        <v>Đạt</v>
      </c>
    </row>
    <row r="63" ht="15.0" customHeight="1">
      <c r="A63" s="3"/>
      <c r="B63" s="34" t="s">
        <v>196</v>
      </c>
      <c r="C63" s="35">
        <v>-360.0</v>
      </c>
      <c r="D63" s="3"/>
      <c r="E63" s="3"/>
      <c r="F63" s="3"/>
      <c r="G63" s="3"/>
    </row>
    <row r="64" ht="15.0" customHeight="1">
      <c r="A64" s="3"/>
      <c r="B64" s="37" t="s">
        <v>197</v>
      </c>
      <c r="C64" s="35">
        <f>C63</f>
        <v>-360</v>
      </c>
      <c r="D64" s="3"/>
      <c r="E64" s="3"/>
      <c r="F64" s="3"/>
      <c r="G64" s="39" t="str">
        <f>IF(COUNT(C63:C64)&lt;2,"Chưa điền",IF(ABS(C64-SUM(C63))&lt;0.01,"Đạt","Xem lại phép cộng"))</f>
        <v>Đạt</v>
      </c>
    </row>
    <row r="65" ht="15.0" customHeight="1">
      <c r="A65" s="3"/>
      <c r="B65" s="34" t="s">
        <v>198</v>
      </c>
      <c r="C65" s="35">
        <v>1000.0</v>
      </c>
      <c r="D65" s="3"/>
      <c r="E65" s="3"/>
      <c r="F65" s="3"/>
      <c r="G65" s="3"/>
    </row>
    <row r="66" ht="15.0" customHeight="1">
      <c r="A66" s="3"/>
      <c r="B66" s="34" t="s">
        <v>199</v>
      </c>
      <c r="C66" s="35">
        <v>300.0</v>
      </c>
      <c r="D66" s="3"/>
      <c r="E66" s="3"/>
      <c r="F66" s="3"/>
      <c r="G66" s="3"/>
    </row>
    <row r="67" ht="15.0" customHeight="1">
      <c r="A67" s="3"/>
      <c r="B67" s="37" t="s">
        <v>200</v>
      </c>
      <c r="C67" s="35">
        <f>C65+C66</f>
        <v>1300</v>
      </c>
      <c r="D67" s="3"/>
      <c r="E67" s="3"/>
      <c r="F67" s="3"/>
      <c r="G67" s="39" t="str">
        <f>IF(COUNT(C65:C67)&lt;3,"Chưa điền",IF(ABS(C67-SUM(C65:C66))&lt;0.01,"Đạt","Xem lại phép cộng"))</f>
        <v>Đạt</v>
      </c>
    </row>
    <row r="68" ht="15.0" customHeight="1">
      <c r="A68" s="3"/>
      <c r="B68" s="37" t="s">
        <v>201</v>
      </c>
      <c r="C68" s="35">
        <f>C62+C64+C67</f>
        <v>921</v>
      </c>
      <c r="D68" s="3"/>
      <c r="E68" s="3"/>
      <c r="F68" s="3"/>
      <c r="G68" s="39" t="str">
        <f>IF(COUNT(C62,C64,C67,C68)&lt;4,"Chưa điền",IF(ABS(C68-(C62+C64+C67))&lt;0.01,"Đạt","Xem lại phép cộng"))</f>
        <v>Đạt</v>
      </c>
    </row>
    <row r="69" ht="15.0" customHeight="1">
      <c r="A69" s="3"/>
      <c r="B69" s="34" t="s">
        <v>202</v>
      </c>
      <c r="C69" s="47">
        <v>0.0</v>
      </c>
      <c r="D69" s="3"/>
      <c r="E69" s="3"/>
      <c r="F69" s="3"/>
      <c r="G69" s="3"/>
    </row>
    <row r="70" ht="15.0" customHeight="1">
      <c r="A70" s="3"/>
      <c r="B70" s="37" t="s">
        <v>205</v>
      </c>
      <c r="C70" s="35">
        <f>C69+C68</f>
        <v>921</v>
      </c>
      <c r="D70" s="3"/>
      <c r="E70" s="3"/>
      <c r="F70" s="3"/>
      <c r="G70" s="39" t="str">
        <f>IF(COUNT(C68:C70)&lt;3,"Chưa điền",IF(ABS(C70-(C68+C69))&lt;0.01,"Đạt","Xem lại phép cộng"))</f>
        <v>Đạt</v>
      </c>
    </row>
    <row r="71" ht="31.5" customHeight="1">
      <c r="A71" s="3"/>
      <c r="B71" s="37" t="s">
        <v>217</v>
      </c>
      <c r="C71" s="3"/>
      <c r="D71" s="3"/>
      <c r="E71" s="3"/>
      <c r="F71" s="3"/>
      <c r="G71" s="45" t="str">
        <f>IF(COUNT(C70,C37)&lt;2,"Chưa điền",IF(ABS(C70-C37)&lt;0.01,"Đạt: ba báo cáo đã khớp","Chưa khớp: soát dấu +/− ở dòng 58–66, rồi soát dòng Tiền ở bảng cân đối"))</f>
        <v>Đạt: ba báo cáo đã khớp</v>
      </c>
    </row>
    <row r="72" ht="15.0" customHeight="1">
      <c r="A72" s="3"/>
      <c r="B72" s="37" t="s">
        <v>225</v>
      </c>
      <c r="C72" s="3"/>
      <c r="D72" s="3"/>
      <c r="E72" s="3"/>
      <c r="F72" s="3"/>
      <c r="G72" s="46" t="str">
        <f>IF(COUNT(C57,F31)&lt;2,"Chưa điền",IF(ABS(C57-F31)&lt;0.01,"Đạt","Chưa khớp bài 1"))</f>
        <v>Đạt</v>
      </c>
    </row>
    <row r="73" ht="15.75" customHeight="1">
      <c r="A73" s="3"/>
      <c r="B73" s="3"/>
      <c r="C73" s="3"/>
      <c r="D73" s="3"/>
      <c r="E73" s="3"/>
      <c r="F73" s="3"/>
      <c r="G73" s="3"/>
    </row>
    <row r="74" ht="15.0" customHeight="1">
      <c r="A74" s="12" t="s">
        <v>238</v>
      </c>
      <c r="B74" s="3"/>
      <c r="C74" s="3"/>
      <c r="D74" s="3"/>
      <c r="E74" s="3"/>
      <c r="F74" s="3"/>
      <c r="G74" s="3"/>
    </row>
    <row r="75" ht="48.0" customHeight="1">
      <c r="A75" s="3"/>
      <c r="B75" s="13" t="s">
        <v>239</v>
      </c>
      <c r="C75" s="53" t="s">
        <v>242</v>
      </c>
      <c r="D75" s="54"/>
      <c r="E75" s="54"/>
      <c r="F75" s="54"/>
      <c r="G75" s="55"/>
    </row>
    <row r="76" ht="48.0" customHeight="1">
      <c r="A76" s="3"/>
      <c r="B76" s="13" t="s">
        <v>252</v>
      </c>
      <c r="C76" s="53" t="s">
        <v>254</v>
      </c>
      <c r="D76" s="54"/>
      <c r="E76" s="54"/>
      <c r="F76" s="54"/>
      <c r="G76" s="55"/>
    </row>
    <row r="77" ht="48.0" customHeight="1">
      <c r="A77" s="3"/>
      <c r="B77" s="13" t="s">
        <v>255</v>
      </c>
      <c r="C77" s="53" t="s">
        <v>257</v>
      </c>
      <c r="D77" s="54"/>
      <c r="E77" s="54"/>
      <c r="F77" s="54"/>
      <c r="G77" s="55"/>
    </row>
    <row r="78" ht="48.0" customHeight="1">
      <c r="A78" s="3"/>
      <c r="B78" s="13" t="s">
        <v>263</v>
      </c>
      <c r="C78" s="53" t="s">
        <v>265</v>
      </c>
      <c r="D78" s="54"/>
      <c r="E78" s="54"/>
      <c r="F78" s="54"/>
      <c r="G78" s="55"/>
    </row>
    <row r="79" ht="15.75" customHeight="1">
      <c r="A79" s="3"/>
      <c r="B79" s="3"/>
      <c r="C79" s="3"/>
      <c r="D79" s="3"/>
      <c r="E79" s="3"/>
      <c r="F79" s="3"/>
      <c r="G79" s="3"/>
    </row>
    <row r="80" ht="15.0" customHeight="1">
      <c r="A80" s="12" t="s">
        <v>271</v>
      </c>
      <c r="B80" s="3"/>
      <c r="C80" s="3"/>
      <c r="D80" s="3"/>
      <c r="E80" s="3"/>
      <c r="F80" s="3"/>
      <c r="G80" s="3"/>
    </row>
    <row r="81" ht="31.5" customHeight="1">
      <c r="A81" s="3"/>
      <c r="B81" s="10" t="s">
        <v>272</v>
      </c>
    </row>
    <row r="82" ht="15.0" customHeight="1">
      <c r="A82" s="3"/>
      <c r="B82" s="34" t="s">
        <v>273</v>
      </c>
      <c r="C82" s="47">
        <v>360.0</v>
      </c>
      <c r="D82" s="3"/>
      <c r="E82" s="3"/>
      <c r="F82" s="3"/>
      <c r="G82" s="3"/>
    </row>
    <row r="83" ht="15.0" customHeight="1">
      <c r="A83" s="3"/>
      <c r="B83" s="34" t="s">
        <v>275</v>
      </c>
      <c r="C83" s="47">
        <v>12.0</v>
      </c>
      <c r="D83" s="3"/>
      <c r="E83" s="3"/>
      <c r="F83" s="3"/>
      <c r="G83" s="3"/>
    </row>
    <row r="84" ht="15.0" customHeight="1">
      <c r="A84" s="3"/>
      <c r="B84" s="34" t="s">
        <v>278</v>
      </c>
      <c r="C84" s="47">
        <v>36.0</v>
      </c>
      <c r="D84" s="3"/>
      <c r="E84" s="3"/>
      <c r="F84" s="3"/>
      <c r="G84" s="3"/>
    </row>
    <row r="85" ht="15.0" customHeight="1">
      <c r="A85" s="3"/>
      <c r="B85" s="34" t="s">
        <v>279</v>
      </c>
      <c r="C85" s="59">
        <v>0.15</v>
      </c>
      <c r="D85" s="3"/>
      <c r="E85" s="3"/>
      <c r="F85" s="3"/>
      <c r="G85" s="3"/>
    </row>
    <row r="86" ht="46.5" customHeight="1">
      <c r="A86" s="3"/>
      <c r="B86" s="13" t="s">
        <v>281</v>
      </c>
      <c r="C86" s="61">
        <f>PV(C85/12,C84,-C83)</f>
        <v>346.1672085</v>
      </c>
      <c r="D86" s="3"/>
      <c r="E86" s="3"/>
      <c r="F86" s="3"/>
      <c r="G86" s="39" t="str">
        <f>IF(C86="","Chưa điền",IF(ABS(C86-PV(C85/12,C84,-C83))&lt;1,"Đạt","Xem lại"))</f>
        <v>Đạt</v>
      </c>
    </row>
    <row r="87" ht="15.0" customHeight="1">
      <c r="A87" s="3"/>
      <c r="B87" s="34" t="s">
        <v>293</v>
      </c>
      <c r="C87" s="62" t="s">
        <v>295</v>
      </c>
      <c r="D87" s="3"/>
      <c r="E87" s="3"/>
      <c r="F87" s="3"/>
      <c r="G87" s="39" t="str">
        <f>IF(C87="","Chưa điền",IF(C87=IF(PV(C85/12,C84,-C83)&lt;C82,"Thuê","Mua"),"Đạt","Xem lại"))</f>
        <v>Đạt</v>
      </c>
    </row>
    <row r="88" ht="31.5" customHeight="1">
      <c r="A88" s="3"/>
      <c r="B88" s="13" t="s">
        <v>304</v>
      </c>
      <c r="C88" s="61">
        <f>PV(0.08/12,C84,-C83)</f>
        <v>382.9416661</v>
      </c>
      <c r="D88" s="3"/>
      <c r="E88" s="3"/>
      <c r="F88" s="3"/>
      <c r="G88" s="39" t="str">
        <f>IF(C88="","Chưa điền",IF(ABS(C88-PV(0.08/12,C84,-C83))&lt;1,"Đạt","Xem lại"))</f>
        <v>Đạt</v>
      </c>
    </row>
    <row r="89" ht="15.0" customHeight="1">
      <c r="A89" s="3"/>
      <c r="B89" s="34" t="s">
        <v>308</v>
      </c>
      <c r="C89" s="62" t="s">
        <v>310</v>
      </c>
      <c r="D89" s="3"/>
      <c r="E89" s="3"/>
      <c r="F89" s="3"/>
      <c r="G89" s="39" t="str">
        <f>IF(C89="","Chưa điền",IF(C89=IF(PV(0.08/12,C84,-C83)&lt;C82,"Thuê","Mua"),"Đạt","Xem lại"))</f>
        <v>Đạt</v>
      </c>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78:G78"/>
    <mergeCell ref="B81:G81"/>
    <mergeCell ref="A3:G3"/>
    <mergeCell ref="A19:G19"/>
    <mergeCell ref="A34:G34"/>
    <mergeCell ref="A55:G55"/>
    <mergeCell ref="C75:G75"/>
    <mergeCell ref="C76:G76"/>
    <mergeCell ref="C77:G77"/>
  </mergeCells>
  <dataValidations>
    <dataValidation type="list" allowBlank="1" sqref="C87 C89">
      <formula1>"Mua,Thuê"</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2" width="22.0"/>
    <col customWidth="1" min="3" max="3" width="18.0"/>
    <col customWidth="1" min="4" max="4" width="60.0"/>
    <col customWidth="1" min="5" max="5" width="64.0"/>
    <col customWidth="1" min="6" max="6" width="8.71"/>
  </cols>
  <sheetData>
    <row r="1" ht="17.25" customHeight="1">
      <c r="A1" s="1" t="s">
        <v>0</v>
      </c>
      <c r="B1" s="3"/>
      <c r="C1" s="3"/>
      <c r="D1" s="3"/>
      <c r="E1" s="3"/>
    </row>
    <row r="2" ht="15.0" customHeight="1">
      <c r="A2" s="5" t="s">
        <v>6</v>
      </c>
      <c r="B2" s="3"/>
      <c r="C2" s="3"/>
      <c r="D2" s="3"/>
      <c r="E2" s="3"/>
    </row>
    <row r="3" ht="31.5" customHeight="1">
      <c r="A3" s="7" t="s">
        <v>8</v>
      </c>
    </row>
    <row r="4" ht="15.0" customHeight="1">
      <c r="A4" s="9" t="s">
        <v>13</v>
      </c>
      <c r="B4" s="9" t="s">
        <v>20</v>
      </c>
      <c r="C4" s="9" t="s">
        <v>22</v>
      </c>
      <c r="D4" s="9" t="s">
        <v>23</v>
      </c>
      <c r="E4" s="9" t="s">
        <v>24</v>
      </c>
    </row>
    <row r="5" ht="30.0" customHeight="1">
      <c r="A5" s="11" t="s">
        <v>26</v>
      </c>
      <c r="B5" s="14" t="s">
        <v>31</v>
      </c>
      <c r="C5" s="15"/>
      <c r="D5" s="16" t="s">
        <v>36</v>
      </c>
      <c r="E5" s="17" t="s">
        <v>43</v>
      </c>
    </row>
    <row r="6" ht="30.0" customHeight="1">
      <c r="A6" s="11" t="s">
        <v>45</v>
      </c>
      <c r="B6" s="20">
        <v>1.0</v>
      </c>
      <c r="C6" s="15" t="s">
        <v>50</v>
      </c>
      <c r="D6" s="16" t="s">
        <v>52</v>
      </c>
      <c r="E6" s="17" t="s">
        <v>55</v>
      </c>
    </row>
    <row r="7" ht="43.5" customHeight="1">
      <c r="A7" s="11" t="s">
        <v>57</v>
      </c>
      <c r="B7" s="23">
        <v>1200.0</v>
      </c>
      <c r="C7" s="15" t="s">
        <v>64</v>
      </c>
      <c r="D7" s="16" t="s">
        <v>66</v>
      </c>
      <c r="E7" s="17" t="s">
        <v>68</v>
      </c>
    </row>
    <row r="8" ht="15.75" customHeight="1">
      <c r="A8" s="11" t="s">
        <v>69</v>
      </c>
      <c r="B8" s="23">
        <v>400.0</v>
      </c>
      <c r="C8" s="15" t="s">
        <v>64</v>
      </c>
      <c r="D8" s="16" t="s">
        <v>72</v>
      </c>
      <c r="E8" s="17" t="s">
        <v>74</v>
      </c>
    </row>
    <row r="9" ht="43.5" customHeight="1">
      <c r="A9" s="11" t="s">
        <v>76</v>
      </c>
      <c r="B9" s="23">
        <v>0.1</v>
      </c>
      <c r="C9" s="15" t="s">
        <v>79</v>
      </c>
      <c r="D9" s="30" t="s">
        <v>85</v>
      </c>
      <c r="E9" s="17" t="s">
        <v>106</v>
      </c>
    </row>
    <row r="10" ht="30.0" customHeight="1">
      <c r="A10" s="11" t="s">
        <v>108</v>
      </c>
      <c r="B10" s="23">
        <v>0.5</v>
      </c>
      <c r="C10" s="15" t="s">
        <v>79</v>
      </c>
      <c r="D10" s="16" t="s">
        <v>110</v>
      </c>
      <c r="E10" s="17" t="s">
        <v>112</v>
      </c>
    </row>
    <row r="11" ht="30.0" customHeight="1">
      <c r="A11" s="11" t="s">
        <v>113</v>
      </c>
      <c r="B11" s="23">
        <v>26170.0</v>
      </c>
      <c r="C11" s="15" t="s">
        <v>115</v>
      </c>
      <c r="D11" s="16" t="s">
        <v>117</v>
      </c>
      <c r="E11" s="17" t="s">
        <v>118</v>
      </c>
    </row>
    <row r="12" ht="30.0" customHeight="1">
      <c r="A12" s="11" t="s">
        <v>119</v>
      </c>
      <c r="B12" s="32">
        <v>0.05</v>
      </c>
      <c r="C12" s="15" t="s">
        <v>121</v>
      </c>
      <c r="D12" s="16" t="s">
        <v>122</v>
      </c>
      <c r="E12" s="17" t="s">
        <v>123</v>
      </c>
    </row>
    <row r="13" ht="43.5" customHeight="1">
      <c r="A13" s="11" t="s">
        <v>125</v>
      </c>
      <c r="B13" s="23">
        <v>20.0</v>
      </c>
      <c r="C13" s="15" t="s">
        <v>126</v>
      </c>
      <c r="D13" s="16" t="s">
        <v>128</v>
      </c>
      <c r="E13" s="17" t="s">
        <v>130</v>
      </c>
    </row>
    <row r="14" ht="30.0" customHeight="1">
      <c r="A14" s="11" t="s">
        <v>131</v>
      </c>
      <c r="B14" s="32">
        <v>0.02</v>
      </c>
      <c r="C14" s="15" t="s">
        <v>121</v>
      </c>
      <c r="D14" s="16" t="s">
        <v>133</v>
      </c>
      <c r="E14" s="17" t="s">
        <v>134</v>
      </c>
    </row>
    <row r="15" ht="15.75" customHeight="1">
      <c r="A15" s="11" t="s">
        <v>135</v>
      </c>
      <c r="B15" s="23">
        <v>1.0</v>
      </c>
      <c r="C15" s="15" t="s">
        <v>136</v>
      </c>
      <c r="D15" s="16" t="s">
        <v>72</v>
      </c>
      <c r="E15" s="17" t="s">
        <v>137</v>
      </c>
    </row>
    <row r="16" ht="30.0" customHeight="1">
      <c r="A16" s="11" t="s">
        <v>138</v>
      </c>
      <c r="B16" s="23">
        <v>40000.0</v>
      </c>
      <c r="C16" s="15" t="s">
        <v>139</v>
      </c>
      <c r="D16" s="16" t="s">
        <v>140</v>
      </c>
      <c r="E16" s="17" t="s">
        <v>141</v>
      </c>
    </row>
    <row r="17" ht="30.0" customHeight="1">
      <c r="A17" s="11" t="s">
        <v>142</v>
      </c>
      <c r="B17" s="23">
        <v>5.0</v>
      </c>
      <c r="C17" s="15" t="s">
        <v>126</v>
      </c>
      <c r="D17" s="16" t="s">
        <v>72</v>
      </c>
      <c r="E17" s="17" t="s">
        <v>143</v>
      </c>
    </row>
    <row r="18" ht="15.75" customHeight="1">
      <c r="A18" s="11" t="s">
        <v>144</v>
      </c>
      <c r="B18" s="23">
        <v>5.0</v>
      </c>
      <c r="C18" s="15" t="s">
        <v>126</v>
      </c>
      <c r="D18" s="16" t="s">
        <v>145</v>
      </c>
      <c r="E18" s="17" t="s">
        <v>146</v>
      </c>
    </row>
    <row r="19">
      <c r="A19" s="3"/>
      <c r="B19" s="3"/>
      <c r="C19" s="3"/>
      <c r="D19" s="3"/>
      <c r="E19" s="3"/>
    </row>
    <row r="20" ht="15.0" customHeight="1">
      <c r="A20" s="12" t="s">
        <v>147</v>
      </c>
      <c r="B20" s="3"/>
      <c r="C20" s="3"/>
      <c r="D20" s="3"/>
      <c r="E20" s="3"/>
    </row>
    <row r="21" ht="15.0" customHeight="1">
      <c r="A21" s="34" t="s">
        <v>149</v>
      </c>
      <c r="B21" s="36">
        <f>IFERROR(B6*(B7*B9+B8*B10)/1000000*B11*(1+B12),0)</f>
        <v>8.79312</v>
      </c>
      <c r="C21" s="3"/>
      <c r="D21" s="3"/>
      <c r="E21" s="3"/>
    </row>
    <row r="22" ht="15.0" customHeight="1">
      <c r="A22" s="34" t="s">
        <v>151</v>
      </c>
      <c r="B22" s="36">
        <f>IFERROR(B14*B15/60*B16,0)</f>
        <v>13.33333333</v>
      </c>
      <c r="C22" s="3"/>
      <c r="D22" s="3"/>
      <c r="E22" s="3"/>
    </row>
    <row r="23" ht="15.0" customHeight="1">
      <c r="A23" s="34" t="s">
        <v>152</v>
      </c>
      <c r="B23" s="36">
        <f>B13+B17+B18</f>
        <v>30</v>
      </c>
      <c r="C23" s="3"/>
      <c r="D23" s="3"/>
      <c r="E23" s="3"/>
    </row>
    <row r="24" ht="15.75" customHeight="1">
      <c r="A24" s="34" t="s">
        <v>153</v>
      </c>
      <c r="B24" s="40">
        <f>B21+B22+B23</f>
        <v>52.12645333</v>
      </c>
      <c r="C24" s="3"/>
      <c r="D24" s="3"/>
      <c r="E24" s="10" t="s">
        <v>156</v>
      </c>
    </row>
    <row r="25" ht="15.0" customHeight="1">
      <c r="A25" s="34" t="s">
        <v>157</v>
      </c>
      <c r="B25" s="41">
        <f>IFERROR((B24-B21)/B21,0)</f>
        <v>4.928095299</v>
      </c>
      <c r="C25" s="42" t="s">
        <v>158</v>
      </c>
      <c r="D25" s="3"/>
      <c r="E25" s="3"/>
    </row>
    <row r="26" ht="15.0" customHeight="1">
      <c r="A26" s="34" t="s">
        <v>159</v>
      </c>
      <c r="B26" s="36">
        <f>3*B24</f>
        <v>156.37936</v>
      </c>
      <c r="C26" s="42" t="s">
        <v>160</v>
      </c>
      <c r="D26" s="3"/>
      <c r="E26" s="3"/>
    </row>
    <row r="27" ht="15.0" customHeight="1">
      <c r="A27" s="34" t="s">
        <v>161</v>
      </c>
      <c r="B27" s="36">
        <f>B24/(1-0.6)</f>
        <v>130.3161333</v>
      </c>
      <c r="C27" s="42" t="s">
        <v>162</v>
      </c>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3:E3"/>
  </mergeCells>
  <hyperlinks>
    <hyperlink r:id="rId1" ref="D9"/>
  </hyperlinks>
  <printOptions/>
  <pageMargins bottom="1.0" footer="0.0" header="0.0" left="0.75" right="0.75" top="1.0"/>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30.0"/>
    <col customWidth="1" min="4" max="4" width="22.0"/>
    <col customWidth="1" min="5" max="5" width="20.0"/>
    <col customWidth="1" min="6" max="6" width="18.0"/>
    <col customWidth="1" min="7" max="7" width="22.0"/>
    <col customWidth="1" min="8" max="8" width="20.0"/>
    <col customWidth="1" min="9" max="9" width="46.0"/>
  </cols>
  <sheetData>
    <row r="1" ht="17.25" customHeight="1">
      <c r="A1" s="1" t="s">
        <v>203</v>
      </c>
      <c r="B1" s="3"/>
      <c r="C1" s="3"/>
      <c r="D1" s="3"/>
      <c r="E1" s="3"/>
      <c r="F1" s="3"/>
      <c r="G1" s="3"/>
      <c r="H1" s="3"/>
      <c r="I1" s="3"/>
    </row>
    <row r="2" ht="15.0" customHeight="1">
      <c r="A2" s="5" t="s">
        <v>207</v>
      </c>
      <c r="B2" s="3"/>
      <c r="C2" s="3"/>
      <c r="D2" s="3"/>
      <c r="E2" s="3"/>
      <c r="F2" s="3"/>
      <c r="G2" s="3"/>
      <c r="H2" s="3"/>
      <c r="I2" s="3"/>
    </row>
    <row r="3">
      <c r="A3" s="3"/>
      <c r="B3" s="3"/>
      <c r="C3" s="3"/>
      <c r="D3" s="3"/>
      <c r="E3" s="3"/>
      <c r="F3" s="3"/>
      <c r="G3" s="3"/>
      <c r="H3" s="3"/>
      <c r="I3" s="3"/>
    </row>
    <row r="4" ht="15.0" customHeight="1">
      <c r="A4" s="9" t="s">
        <v>209</v>
      </c>
      <c r="B4" s="9" t="s">
        <v>20</v>
      </c>
      <c r="C4" s="9" t="s">
        <v>41</v>
      </c>
      <c r="D4" s="9" t="s">
        <v>23</v>
      </c>
      <c r="E4" s="3"/>
      <c r="F4" s="3"/>
      <c r="G4" s="3"/>
      <c r="H4" s="3"/>
      <c r="I4" s="3"/>
    </row>
    <row r="5" ht="48.0" customHeight="1">
      <c r="A5" s="13" t="s">
        <v>214</v>
      </c>
      <c r="B5" s="48" t="s">
        <v>216</v>
      </c>
      <c r="C5" s="50" t="s">
        <v>218</v>
      </c>
      <c r="D5" s="51" t="s">
        <v>219</v>
      </c>
      <c r="E5" s="3"/>
      <c r="F5" s="3"/>
      <c r="G5" s="3"/>
      <c r="H5" s="3"/>
      <c r="I5" s="3"/>
    </row>
    <row r="6" ht="63.0" customHeight="1">
      <c r="A6" s="13" t="s">
        <v>222</v>
      </c>
      <c r="B6" s="48" t="s">
        <v>228</v>
      </c>
      <c r="C6" s="50" t="s">
        <v>229</v>
      </c>
      <c r="D6" s="51" t="s">
        <v>230</v>
      </c>
      <c r="E6" s="3"/>
      <c r="F6" s="3"/>
      <c r="G6" s="3"/>
      <c r="H6" s="3"/>
      <c r="I6" s="3"/>
    </row>
    <row r="7" ht="48.0" customHeight="1">
      <c r="A7" s="13" t="s">
        <v>231</v>
      </c>
      <c r="B7" s="48" t="s">
        <v>232</v>
      </c>
      <c r="C7" s="3"/>
      <c r="D7" s="51" t="s">
        <v>233</v>
      </c>
      <c r="E7" s="3"/>
      <c r="F7" s="3"/>
      <c r="G7" s="3"/>
      <c r="H7" s="3"/>
      <c r="I7" s="3"/>
    </row>
    <row r="8" ht="48.0" customHeight="1">
      <c r="A8" s="13" t="s">
        <v>234</v>
      </c>
      <c r="B8" s="48" t="s">
        <v>235</v>
      </c>
      <c r="C8" s="50" t="s">
        <v>236</v>
      </c>
      <c r="D8" s="51" t="s">
        <v>72</v>
      </c>
      <c r="E8" s="3"/>
      <c r="F8" s="3"/>
      <c r="G8" s="3"/>
      <c r="H8" s="3"/>
      <c r="I8" s="3"/>
    </row>
    <row r="9" ht="15.0" customHeight="1">
      <c r="A9" s="34" t="s">
        <v>237</v>
      </c>
      <c r="B9" s="35">
        <v>99000.0</v>
      </c>
      <c r="C9" s="3" t="s">
        <v>126</v>
      </c>
      <c r="D9" s="51" t="s">
        <v>72</v>
      </c>
      <c r="E9" s="3"/>
      <c r="F9" s="3"/>
      <c r="G9" s="3"/>
      <c r="H9" s="3"/>
      <c r="I9" s="3"/>
    </row>
    <row r="10" ht="15.0" customHeight="1">
      <c r="A10" s="34" t="s">
        <v>240</v>
      </c>
      <c r="B10" s="35">
        <v>300.0</v>
      </c>
      <c r="C10" s="3" t="s">
        <v>241</v>
      </c>
      <c r="D10" s="51" t="s">
        <v>72</v>
      </c>
      <c r="E10" s="3"/>
      <c r="F10" s="3"/>
      <c r="G10" s="3"/>
      <c r="H10" s="3"/>
      <c r="I10" s="3"/>
    </row>
    <row r="11" ht="15.0" customHeight="1">
      <c r="A11" s="34" t="s">
        <v>246</v>
      </c>
      <c r="B11" s="35">
        <v>300.0</v>
      </c>
      <c r="C11" s="3" t="s">
        <v>248</v>
      </c>
      <c r="D11" s="51" t="s">
        <v>249</v>
      </c>
      <c r="E11" s="3"/>
      <c r="F11" s="3"/>
      <c r="G11" s="3"/>
      <c r="H11" s="3"/>
      <c r="I11" s="3"/>
    </row>
    <row r="12" ht="31.5" customHeight="1">
      <c r="A12" s="13" t="s">
        <v>250</v>
      </c>
      <c r="B12" s="35">
        <v>99000.0</v>
      </c>
      <c r="C12" s="3" t="s">
        <v>251</v>
      </c>
      <c r="D12" s="51" t="s">
        <v>253</v>
      </c>
      <c r="E12" s="3"/>
      <c r="F12" s="3"/>
      <c r="G12" s="3"/>
      <c r="H12" s="3"/>
      <c r="I12" s="3"/>
    </row>
    <row r="13">
      <c r="A13" s="3"/>
      <c r="B13" s="3"/>
      <c r="C13" s="3"/>
      <c r="D13" s="3"/>
      <c r="E13" s="3"/>
      <c r="F13" s="3"/>
      <c r="G13" s="3"/>
      <c r="H13" s="3"/>
      <c r="I13" s="3"/>
    </row>
    <row r="14" ht="46.5" customHeight="1">
      <c r="A14" s="9" t="s">
        <v>256</v>
      </c>
      <c r="B14" s="56" t="s">
        <v>258</v>
      </c>
      <c r="C14" s="56" t="s">
        <v>262</v>
      </c>
      <c r="D14" s="9" t="s">
        <v>264</v>
      </c>
      <c r="E14" s="56" t="s">
        <v>266</v>
      </c>
      <c r="F14" s="9" t="s">
        <v>267</v>
      </c>
      <c r="G14" s="9" t="s">
        <v>268</v>
      </c>
      <c r="H14" s="9" t="s">
        <v>269</v>
      </c>
      <c r="I14" s="9" t="s">
        <v>23</v>
      </c>
    </row>
    <row r="15" ht="15.0" customHeight="1">
      <c r="A15" s="34" t="s">
        <v>270</v>
      </c>
      <c r="B15" s="57">
        <v>0.85</v>
      </c>
      <c r="C15" s="58">
        <v>120.0</v>
      </c>
      <c r="D15" s="36">
        <f>B9+MAX(0,C15-B10)*B11</f>
        <v>99000</v>
      </c>
      <c r="E15" s="36">
        <f>C15*'1_Chi phí mỗi việc'!B24</f>
        <v>6255.1744</v>
      </c>
      <c r="F15" s="41">
        <f t="shared" ref="F15:F17" si="1">IFERROR((D15-E15)/D15,0)</f>
        <v>0.9368164202</v>
      </c>
      <c r="G15" s="36">
        <f>B12</f>
        <v>99000</v>
      </c>
      <c r="H15" s="41">
        <f t="shared" ref="H15:H17" si="2">IFERROR((G15-E15)/G15,0)</f>
        <v>0.9368164202</v>
      </c>
      <c r="I15" s="51" t="s">
        <v>299</v>
      </c>
    </row>
    <row r="16" ht="15.0" customHeight="1">
      <c r="A16" s="34" t="s">
        <v>302</v>
      </c>
      <c r="B16" s="57">
        <v>0.15</v>
      </c>
      <c r="C16" s="58">
        <v>1200.0</v>
      </c>
      <c r="D16" s="36">
        <f>B9+MAX(0,C16-B10)*B11</f>
        <v>369000</v>
      </c>
      <c r="E16" s="36">
        <f>C16*'1_Chi phí mỗi việc'!B24</f>
        <v>62551.744</v>
      </c>
      <c r="F16" s="41">
        <f t="shared" si="1"/>
        <v>0.8304830786</v>
      </c>
      <c r="G16" s="36">
        <f>B12</f>
        <v>99000</v>
      </c>
      <c r="H16" s="41">
        <f t="shared" si="2"/>
        <v>0.368164202</v>
      </c>
      <c r="I16" s="51" t="s">
        <v>311</v>
      </c>
    </row>
    <row r="17" ht="15.0" customHeight="1">
      <c r="A17" s="12" t="s">
        <v>312</v>
      </c>
      <c r="B17" s="41">
        <f>B15+B16</f>
        <v>1</v>
      </c>
      <c r="C17" s="66">
        <f>SUMPRODUCT(B15:B16,C15:C16)</f>
        <v>282</v>
      </c>
      <c r="D17" s="40">
        <f t="shared" ref="D17:E17" si="3">SUMPRODUCT($B15:$B16,D15:D16)</f>
        <v>139500</v>
      </c>
      <c r="E17" s="40">
        <f t="shared" si="3"/>
        <v>14699.65984</v>
      </c>
      <c r="F17" s="68">
        <f t="shared" si="1"/>
        <v>0.8946260943</v>
      </c>
      <c r="G17" s="40">
        <f>SUMPRODUCT($B15:$B16,G15:G16)</f>
        <v>99000</v>
      </c>
      <c r="H17" s="68">
        <f t="shared" si="2"/>
        <v>0.8515185875</v>
      </c>
      <c r="I17" s="3"/>
    </row>
    <row r="18" ht="15.0" customHeight="1">
      <c r="A18" s="3" t="s">
        <v>325</v>
      </c>
      <c r="B18" s="39" t="str">
        <f>IF(B17=0,"Chưa điền",IF(ABS(B17-1)&lt;0.001,"Đạt","Sai: tổng khác 100%"))</f>
        <v>Đạt</v>
      </c>
      <c r="C18" s="3"/>
      <c r="D18" s="3"/>
      <c r="E18" s="3"/>
      <c r="F18" s="3"/>
      <c r="G18" s="3"/>
      <c r="H18" s="3"/>
      <c r="I18" s="3"/>
    </row>
    <row r="19" ht="15.0" customHeight="1">
      <c r="A19" s="3" t="s">
        <v>326</v>
      </c>
      <c r="B19" s="39" t="str">
        <f>IF(B11=0,"Chưa điền",IF(B11&gt;='1_Chi phí mỗi việc'!B26,"Đạt","Thấp hơn giá sàn"))</f>
        <v>Đạt</v>
      </c>
      <c r="C19" s="3"/>
      <c r="D19" s="3"/>
      <c r="E19" s="3"/>
      <c r="F19" s="3"/>
      <c r="G19" s="3"/>
      <c r="H19" s="3"/>
      <c r="I19" s="3"/>
    </row>
    <row r="20">
      <c r="A20" s="3"/>
      <c r="B20" s="3"/>
      <c r="C20" s="3"/>
      <c r="D20" s="3"/>
      <c r="E20" s="3"/>
      <c r="F20" s="3"/>
      <c r="G20" s="3"/>
      <c r="H20" s="3"/>
      <c r="I20" s="3"/>
    </row>
    <row r="21" ht="15.0" customHeight="1">
      <c r="A21" s="3" t="s">
        <v>327</v>
      </c>
      <c r="B21" s="68">
        <f>IFERROR(B16*D16/D17,0)</f>
        <v>0.3967741935</v>
      </c>
      <c r="C21" s="3"/>
      <c r="D21" s="3"/>
      <c r="E21" s="3"/>
      <c r="F21" s="3"/>
      <c r="G21" s="3"/>
      <c r="H21" s="3"/>
      <c r="I21" s="3"/>
    </row>
    <row r="22" ht="15.0" customHeight="1">
      <c r="A22" s="3" t="s">
        <v>328</v>
      </c>
      <c r="B22" s="68">
        <f>IFERROR(B16*MAX(0,C16-B10)*B11/D17,0)</f>
        <v>0.2903225806</v>
      </c>
      <c r="C22" s="3"/>
      <c r="D22" s="3"/>
      <c r="E22" s="3"/>
      <c r="F22" s="3"/>
      <c r="G22" s="3"/>
      <c r="H22" s="3"/>
      <c r="I22" s="3"/>
    </row>
    <row r="23" ht="15.0" customHeight="1">
      <c r="A23" s="3" t="s">
        <v>329</v>
      </c>
      <c r="B23" s="39" t="str">
        <f>IF(D17=0,"Chưa điền",IF(B21&gt;0.5,"Trên 50% doanh thu đến từ khách dùng nhiều: xem tình huống đặc biệt ở trang 5","Đạt"))</f>
        <v>Đạt</v>
      </c>
      <c r="C23" s="3"/>
      <c r="D23" s="3"/>
      <c r="E23" s="3"/>
      <c r="F23" s="3"/>
      <c r="G23" s="3"/>
      <c r="H23" s="3"/>
      <c r="I23" s="3"/>
    </row>
    <row r="24" ht="15.75" customHeight="1">
      <c r="A24" s="3"/>
      <c r="B24" s="3"/>
      <c r="C24" s="3"/>
      <c r="D24" s="3"/>
      <c r="E24" s="3"/>
      <c r="F24" s="3"/>
      <c r="G24" s="3"/>
      <c r="H24" s="3"/>
      <c r="I24" s="3"/>
    </row>
    <row r="25" ht="15.0" customHeight="1">
      <c r="A25" s="12" t="s">
        <v>330</v>
      </c>
      <c r="B25" s="3"/>
      <c r="C25" s="3"/>
      <c r="D25" s="3"/>
      <c r="E25" s="3"/>
      <c r="F25" s="3"/>
      <c r="G25" s="3"/>
      <c r="H25" s="3"/>
      <c r="I25" s="3"/>
    </row>
    <row r="26" ht="15.0" customHeight="1">
      <c r="A26" s="34" t="s">
        <v>331</v>
      </c>
      <c r="B26" s="35">
        <v>3000000.0</v>
      </c>
      <c r="C26" s="34" t="s">
        <v>251</v>
      </c>
      <c r="D26" s="62" t="s">
        <v>332</v>
      </c>
      <c r="E26" s="3"/>
      <c r="F26" s="3"/>
      <c r="G26" s="3"/>
      <c r="H26" s="3"/>
      <c r="I26" s="3"/>
    </row>
    <row r="27" ht="15.0" customHeight="1">
      <c r="A27" s="34" t="s">
        <v>333</v>
      </c>
      <c r="B27" s="70">
        <v>0.0</v>
      </c>
      <c r="C27" s="34" t="s">
        <v>334</v>
      </c>
      <c r="D27" s="62" t="s">
        <v>335</v>
      </c>
      <c r="E27" s="3"/>
      <c r="F27" s="3"/>
      <c r="G27" s="3"/>
      <c r="H27" s="3"/>
      <c r="I27" s="3"/>
    </row>
    <row r="28" ht="45.0" customHeight="1">
      <c r="A28" s="9" t="s">
        <v>256</v>
      </c>
      <c r="B28" s="9" t="s">
        <v>336</v>
      </c>
      <c r="C28" s="9" t="s">
        <v>337</v>
      </c>
      <c r="D28" s="9" t="s">
        <v>338</v>
      </c>
      <c r="E28" s="9" t="s">
        <v>339</v>
      </c>
      <c r="F28" s="9" t="s">
        <v>340</v>
      </c>
      <c r="G28" s="3"/>
      <c r="H28" s="3"/>
      <c r="I28" s="3"/>
    </row>
    <row r="29" ht="30.0" customHeight="1">
      <c r="A29" s="34" t="s">
        <v>270</v>
      </c>
      <c r="B29" s="36">
        <f t="shared" ref="B29:B30" si="4">D15</f>
        <v>99000</v>
      </c>
      <c r="C29" s="43">
        <f t="shared" ref="C29:C31" si="5">IFERROR(B29/$B$26,"")</f>
        <v>0.033</v>
      </c>
      <c r="D29" s="71" t="str">
        <f t="shared" ref="D29:D31" si="6">IF(C29="","",IF(C29&lt;0.5,"Dưới 50%: còn dư địa",IF(C29&lt;=0.7,"Trong vùng 50–70%","Trên 70%: khách thà thuê người? Xem dòng 34")))</f>
        <v>Dưới 50%: còn dư địa</v>
      </c>
      <c r="E29" s="72">
        <f t="shared" ref="E29:E30" si="7">IFERROR(E15/B29,"")</f>
        <v>0.0631835798</v>
      </c>
      <c r="F29" s="39" t="str">
        <f t="shared" ref="F29:F31" si="8">IF(E29="","",IF(E29&lt;0.3,"Ổn (dưới 0,3)",IF(E29&lt;=0.6,"Đáng lo (0,3–0,6)","Nguy (trên 0,6)")))</f>
        <v>Ổn (dưới 0,3)</v>
      </c>
      <c r="G29" s="3"/>
      <c r="H29" s="3"/>
      <c r="I29" s="3"/>
    </row>
    <row r="30" ht="30.0" customHeight="1">
      <c r="A30" s="34" t="s">
        <v>341</v>
      </c>
      <c r="B30" s="36">
        <f t="shared" si="4"/>
        <v>369000</v>
      </c>
      <c r="C30" s="43">
        <f t="shared" si="5"/>
        <v>0.123</v>
      </c>
      <c r="D30" s="71" t="str">
        <f t="shared" si="6"/>
        <v>Dưới 50%: còn dư địa</v>
      </c>
      <c r="E30" s="72">
        <f t="shared" si="7"/>
        <v>0.1695169214</v>
      </c>
      <c r="F30" s="39" t="str">
        <f t="shared" si="8"/>
        <v>Ổn (dưới 0,3)</v>
      </c>
      <c r="G30" s="3"/>
      <c r="H30" s="3"/>
      <c r="I30" s="3"/>
    </row>
    <row r="31" ht="30.0" customHeight="1">
      <c r="A31" s="34" t="s">
        <v>342</v>
      </c>
      <c r="B31" s="36">
        <f>G16</f>
        <v>99000</v>
      </c>
      <c r="C31" s="43">
        <f t="shared" si="5"/>
        <v>0.033</v>
      </c>
      <c r="D31" s="71" t="str">
        <f t="shared" si="6"/>
        <v>Dưới 50%: còn dư địa</v>
      </c>
      <c r="E31" s="72">
        <f>IFERROR(E16/B31,"")</f>
        <v>0.631835798</v>
      </c>
      <c r="F31" s="39" t="str">
        <f t="shared" si="8"/>
        <v>Nguy (trên 0,6)</v>
      </c>
      <c r="G31" s="3"/>
      <c r="H31" s="3"/>
      <c r="I31" s="3"/>
    </row>
    <row r="32" ht="15.0" customHeight="1">
      <c r="A32" s="37" t="s">
        <v>343</v>
      </c>
      <c r="B32" s="73">
        <f>IFERROR((D17*(1-B27)-E17)/D17,"")</f>
        <v>0.8946260943</v>
      </c>
      <c r="C32" s="39" t="str">
        <f>IF(B32="","",IF(B32&gt;0.5,"Ổn",IF(B32&gt;=0.35,"Đáng lo","Nguy")))</f>
        <v>Ổn</v>
      </c>
      <c r="D32" s="42" t="s">
        <v>344</v>
      </c>
      <c r="E32" s="3"/>
      <c r="F32" s="3"/>
      <c r="G32" s="3"/>
      <c r="H32" s="3"/>
      <c r="I32" s="3"/>
    </row>
    <row r="33" ht="30.0" customHeight="1">
      <c r="A33" s="10" t="s">
        <v>345</v>
      </c>
    </row>
    <row r="34" ht="30.0" customHeight="1">
      <c r="A34" s="10" t="s">
        <v>346</v>
      </c>
    </row>
    <row r="35" ht="15.0" customHeight="1">
      <c r="A35" s="12" t="s">
        <v>347</v>
      </c>
      <c r="B35" s="3"/>
      <c r="C35" s="3"/>
      <c r="D35" s="3"/>
      <c r="E35" s="3"/>
      <c r="F35" s="3"/>
      <c r="G35" s="3"/>
      <c r="H35" s="3"/>
      <c r="I35" s="3"/>
    </row>
    <row r="36" ht="15.0" customHeight="1">
      <c r="A36" s="34" t="s">
        <v>348</v>
      </c>
      <c r="B36" s="10" t="s">
        <v>349</v>
      </c>
    </row>
    <row r="37" ht="30.0" customHeight="1">
      <c r="A37" s="34" t="s">
        <v>350</v>
      </c>
      <c r="B37" s="10" t="s">
        <v>351</v>
      </c>
    </row>
    <row r="38" ht="15.0" customHeight="1">
      <c r="A38" s="34" t="s">
        <v>352</v>
      </c>
      <c r="B38" s="10" t="s">
        <v>353</v>
      </c>
    </row>
    <row r="39" ht="15.0" customHeight="1">
      <c r="A39" s="34" t="s">
        <v>354</v>
      </c>
      <c r="B39" s="10" t="s">
        <v>355</v>
      </c>
    </row>
    <row r="40" ht="15.0" customHeight="1">
      <c r="A40" s="34" t="s">
        <v>356</v>
      </c>
      <c r="B40" s="10" t="s">
        <v>357</v>
      </c>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33:I33"/>
    <mergeCell ref="A34:I34"/>
    <mergeCell ref="B36:I36"/>
    <mergeCell ref="B37:I37"/>
    <mergeCell ref="B38:I38"/>
    <mergeCell ref="B39:I39"/>
    <mergeCell ref="B40:I40"/>
  </mergeCells>
  <dataValidations>
    <dataValidation type="decimal" allowBlank="1" showInputMessage="1" showErrorMessage="1" prompt="Nhập tỷ lệ từ 0% đến 90%." sqref="B27">
      <formula1>0.0</formula1>
      <formula2>0.9</formula2>
    </dataValidation>
    <dataValidation type="list" allowBlank="1" sqref="B6">
      <formula1>"Theo người dùng,Theo lượt dùng,Theo kết quả,Kết hợp (phí cố định + vượt hạn mức)"</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4" width="18.0"/>
    <col customWidth="1" min="5" max="5" width="14.0"/>
    <col customWidth="1" min="6" max="6" width="50.0"/>
    <col customWidth="1" min="7" max="7" width="56.0"/>
  </cols>
  <sheetData>
    <row r="1" ht="17.25" customHeight="1">
      <c r="A1" s="1" t="s">
        <v>204</v>
      </c>
      <c r="B1" s="3"/>
      <c r="C1" s="3"/>
      <c r="D1" s="3"/>
      <c r="E1" s="3"/>
      <c r="F1" s="3"/>
      <c r="G1" s="3"/>
    </row>
    <row r="2" ht="15.0" customHeight="1">
      <c r="A2" s="5" t="s">
        <v>206</v>
      </c>
      <c r="B2" s="3"/>
      <c r="C2" s="3"/>
      <c r="D2" s="3"/>
      <c r="E2" s="3"/>
      <c r="F2" s="3"/>
      <c r="G2" s="3"/>
    </row>
    <row r="3">
      <c r="A3" s="3"/>
      <c r="B3" s="3"/>
      <c r="C3" s="3"/>
      <c r="D3" s="3"/>
      <c r="E3" s="3"/>
      <c r="F3" s="3"/>
      <c r="G3" s="3"/>
    </row>
    <row r="4" ht="15.0" customHeight="1">
      <c r="A4" s="9" t="s">
        <v>208</v>
      </c>
      <c r="B4" s="9" t="s">
        <v>210</v>
      </c>
      <c r="C4" s="9" t="s">
        <v>211</v>
      </c>
      <c r="D4" s="9" t="s">
        <v>212</v>
      </c>
      <c r="E4" s="9" t="s">
        <v>22</v>
      </c>
      <c r="F4" s="9" t="s">
        <v>23</v>
      </c>
      <c r="G4" s="9" t="s">
        <v>213</v>
      </c>
    </row>
    <row r="5" ht="31.5" customHeight="1">
      <c r="A5" s="24" t="s">
        <v>215</v>
      </c>
      <c r="B5" s="49">
        <v>1.1</v>
      </c>
      <c r="C5" s="49">
        <v>1.0</v>
      </c>
      <c r="D5" s="49">
        <v>0.8</v>
      </c>
      <c r="E5" s="15" t="s">
        <v>220</v>
      </c>
      <c r="F5" s="16" t="s">
        <v>221</v>
      </c>
      <c r="G5" s="17" t="s">
        <v>223</v>
      </c>
    </row>
    <row r="6" ht="31.5" customHeight="1">
      <c r="A6" s="24" t="s">
        <v>224</v>
      </c>
      <c r="B6" s="49">
        <v>0.9</v>
      </c>
      <c r="C6" s="49">
        <v>1.0</v>
      </c>
      <c r="D6" s="49">
        <v>1.2</v>
      </c>
      <c r="E6" s="15" t="s">
        <v>220</v>
      </c>
      <c r="F6" s="16"/>
      <c r="G6" s="17" t="s">
        <v>226</v>
      </c>
    </row>
    <row r="7" ht="31.5" customHeight="1">
      <c r="A7" s="24" t="s">
        <v>227</v>
      </c>
      <c r="B7" s="52">
        <f>C7*1.3</f>
        <v>390</v>
      </c>
      <c r="C7" s="52">
        <v>300.0</v>
      </c>
      <c r="D7" s="52">
        <f>C7*0.5</f>
        <v>150</v>
      </c>
      <c r="E7" s="15" t="s">
        <v>243</v>
      </c>
      <c r="F7" s="16" t="s">
        <v>244</v>
      </c>
      <c r="G7" s="17" t="s">
        <v>245</v>
      </c>
    </row>
    <row r="8" ht="46.5" customHeight="1">
      <c r="A8" s="24" t="s">
        <v>247</v>
      </c>
      <c r="B8" s="32">
        <f>C8*1.6</f>
        <v>0.128</v>
      </c>
      <c r="C8" s="32">
        <v>0.08</v>
      </c>
      <c r="D8" s="32">
        <f>C8*0.4</f>
        <v>0.032</v>
      </c>
      <c r="E8" s="15" t="s">
        <v>121</v>
      </c>
      <c r="F8" s="16" t="s">
        <v>259</v>
      </c>
      <c r="G8" s="17" t="s">
        <v>260</v>
      </c>
    </row>
    <row r="9" ht="43.5" customHeight="1">
      <c r="A9" s="24" t="s">
        <v>261</v>
      </c>
      <c r="B9" s="32">
        <f>C9*0.6</f>
        <v>0.09</v>
      </c>
      <c r="C9" s="32">
        <v>0.15</v>
      </c>
      <c r="D9" s="32">
        <f>C9*1.6</f>
        <v>0.24</v>
      </c>
      <c r="E9" s="15" t="s">
        <v>121</v>
      </c>
      <c r="F9" s="16" t="s">
        <v>274</v>
      </c>
      <c r="G9" s="17" t="s">
        <v>276</v>
      </c>
    </row>
    <row r="10" ht="31.5" customHeight="1">
      <c r="A10" s="24" t="s">
        <v>277</v>
      </c>
      <c r="B10" s="60">
        <f>C10*0.8</f>
        <v>560000</v>
      </c>
      <c r="C10" s="60">
        <v>700000.0</v>
      </c>
      <c r="D10" s="60">
        <f>C10*1.5</f>
        <v>1050000</v>
      </c>
      <c r="E10" s="15" t="s">
        <v>282</v>
      </c>
      <c r="F10" s="16" t="s">
        <v>283</v>
      </c>
      <c r="G10" s="17" t="s">
        <v>285</v>
      </c>
    </row>
    <row r="11" ht="46.5" customHeight="1">
      <c r="A11" s="24" t="s">
        <v>286</v>
      </c>
      <c r="B11" s="60">
        <f t="shared" ref="B11:B13" si="1">C11</f>
        <v>120000000</v>
      </c>
      <c r="C11" s="60">
        <v>1.2E8</v>
      </c>
      <c r="D11" s="60">
        <f t="shared" ref="D11:D13" si="2">C11</f>
        <v>120000000</v>
      </c>
      <c r="E11" s="15" t="s">
        <v>251</v>
      </c>
      <c r="F11" s="16" t="s">
        <v>290</v>
      </c>
      <c r="G11" s="10" t="s">
        <v>291</v>
      </c>
    </row>
    <row r="12" ht="76.5" customHeight="1">
      <c r="A12" s="13" t="s">
        <v>292</v>
      </c>
      <c r="B12" s="60">
        <f t="shared" si="1"/>
        <v>400000000</v>
      </c>
      <c r="C12" s="60">
        <v>4.0E8</v>
      </c>
      <c r="D12" s="60">
        <f t="shared" si="2"/>
        <v>400000000</v>
      </c>
      <c r="E12" s="15" t="s">
        <v>126</v>
      </c>
      <c r="F12" s="16" t="s">
        <v>294</v>
      </c>
      <c r="G12" s="10" t="s">
        <v>296</v>
      </c>
    </row>
    <row r="13" ht="31.5" customHeight="1">
      <c r="A13" s="24" t="s">
        <v>297</v>
      </c>
      <c r="B13" s="60">
        <f t="shared" si="1"/>
        <v>1500000000</v>
      </c>
      <c r="C13" s="60">
        <v>1.5E9</v>
      </c>
      <c r="D13" s="60">
        <f t="shared" si="2"/>
        <v>1500000000</v>
      </c>
      <c r="E13" s="15" t="s">
        <v>126</v>
      </c>
      <c r="F13" s="16" t="s">
        <v>72</v>
      </c>
      <c r="G13" s="17" t="s">
        <v>298</v>
      </c>
    </row>
    <row r="14" ht="15.75" customHeight="1">
      <c r="A14" s="11" t="s">
        <v>300</v>
      </c>
      <c r="B14" s="32">
        <v>0.15</v>
      </c>
      <c r="C14" s="32">
        <v>0.15</v>
      </c>
      <c r="D14" s="32">
        <v>0.15</v>
      </c>
      <c r="E14" s="15" t="s">
        <v>121</v>
      </c>
      <c r="F14" s="63" t="s">
        <v>303</v>
      </c>
      <c r="G14" s="17" t="s">
        <v>305</v>
      </c>
    </row>
    <row r="15">
      <c r="A15" s="3"/>
      <c r="B15" s="3"/>
      <c r="C15" s="3"/>
      <c r="D15" s="3"/>
      <c r="E15" s="3"/>
      <c r="F15" s="3"/>
      <c r="G15" s="3"/>
    </row>
    <row r="16" ht="15.0" customHeight="1">
      <c r="A16" s="12" t="s">
        <v>306</v>
      </c>
      <c r="B16" s="3"/>
      <c r="C16" s="3"/>
      <c r="D16" s="3"/>
      <c r="E16" s="3"/>
      <c r="F16" s="3"/>
      <c r="G16" s="3"/>
    </row>
    <row r="17" ht="15.0" customHeight="1">
      <c r="A17" s="34" t="s">
        <v>289</v>
      </c>
      <c r="B17" s="36">
        <f>'2_Định giá'!D17*B5*(1-'2_Định giá'!$B$27)</f>
        <v>153450</v>
      </c>
      <c r="C17" s="36">
        <f>'2_Định giá'!D17*C5*(1-'2_Định giá'!$B$27)</f>
        <v>139500</v>
      </c>
      <c r="D17" s="36">
        <f>'2_Định giá'!D17*D5*(1-'2_Định giá'!$B$27)</f>
        <v>111600</v>
      </c>
      <c r="E17" s="3"/>
      <c r="F17" s="3"/>
      <c r="G17" s="3"/>
    </row>
    <row r="18" ht="15.0" customHeight="1">
      <c r="A18" s="34" t="s">
        <v>313</v>
      </c>
      <c r="B18" s="36">
        <f>'2_Định giá'!E17*B6</f>
        <v>13229.69386</v>
      </c>
      <c r="C18" s="36">
        <f>'2_Định giá'!E17*C6</f>
        <v>14699.65984</v>
      </c>
      <c r="D18" s="36">
        <f>'2_Định giá'!E17*D6</f>
        <v>17639.59181</v>
      </c>
      <c r="E18" s="3"/>
      <c r="F18" s="3"/>
      <c r="G18" s="3"/>
    </row>
    <row r="19" ht="15.0" customHeight="1">
      <c r="A19" s="42" t="s">
        <v>316</v>
      </c>
      <c r="B19" s="3"/>
      <c r="C19" s="3"/>
      <c r="D19" s="3"/>
      <c r="E19" s="3"/>
      <c r="F19" s="3"/>
      <c r="G19" s="3"/>
    </row>
    <row r="20" ht="15.0" customHeight="1">
      <c r="A20" s="12" t="s">
        <v>317</v>
      </c>
      <c r="B20" s="3"/>
      <c r="C20" s="3"/>
      <c r="D20" s="3"/>
      <c r="E20" s="3"/>
      <c r="F20" s="3"/>
      <c r="G20" s="3"/>
    </row>
    <row r="21" ht="15.0" customHeight="1">
      <c r="A21" s="3" t="s">
        <v>319</v>
      </c>
      <c r="B21" s="39" t="str">
        <f t="shared" ref="B21:B22" si="3">IF(C9=0,"Chưa điền",IF(D9&gt;=1.5*C9,"Đạt","Chưa đủ sốc"))</f>
        <v>Đạt</v>
      </c>
      <c r="C21" s="3"/>
      <c r="D21" s="3"/>
      <c r="E21" s="3"/>
      <c r="F21" s="3"/>
      <c r="G21" s="3"/>
    </row>
    <row r="22" ht="15.0" customHeight="1">
      <c r="A22" s="3" t="s">
        <v>322</v>
      </c>
      <c r="B22" s="39" t="str">
        <f t="shared" si="3"/>
        <v>Đạt</v>
      </c>
      <c r="C22" s="3"/>
      <c r="D22" s="3"/>
      <c r="E22" s="3"/>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7.29"/>
    <col customWidth="1" min="2" max="4" width="18.0"/>
    <col customWidth="1" min="5" max="5" width="20.0"/>
    <col customWidth="1" min="6" max="6" width="8.71"/>
  </cols>
  <sheetData>
    <row r="1" ht="17.25" customHeight="1">
      <c r="A1" s="1" t="s">
        <v>280</v>
      </c>
      <c r="B1" s="3"/>
      <c r="C1" s="3"/>
      <c r="D1" s="3"/>
      <c r="E1" s="3"/>
    </row>
    <row r="2" ht="15.0" customHeight="1">
      <c r="A2" s="5" t="s">
        <v>284</v>
      </c>
      <c r="B2" s="3"/>
      <c r="C2" s="3"/>
      <c r="D2" s="3"/>
      <c r="E2" s="3"/>
    </row>
    <row r="3">
      <c r="A3" s="3"/>
      <c r="B3" s="3"/>
      <c r="C3" s="3"/>
      <c r="D3" s="3"/>
      <c r="E3" s="3"/>
    </row>
    <row r="4" ht="15.0" customHeight="1">
      <c r="A4" s="9" t="s">
        <v>287</v>
      </c>
      <c r="B4" s="9" t="s">
        <v>210</v>
      </c>
      <c r="C4" s="9" t="s">
        <v>211</v>
      </c>
      <c r="D4" s="9" t="s">
        <v>212</v>
      </c>
      <c r="E4" s="9" t="s">
        <v>288</v>
      </c>
    </row>
    <row r="5" ht="15.0" customHeight="1">
      <c r="A5" s="34" t="s">
        <v>289</v>
      </c>
      <c r="B5" s="36">
        <f>'3_Giả định'!B17</f>
        <v>153450</v>
      </c>
      <c r="C5" s="36">
        <f>'3_Giả định'!C17</f>
        <v>139500</v>
      </c>
      <c r="D5" s="36">
        <f>'3_Giả định'!D17</f>
        <v>111600</v>
      </c>
      <c r="E5" s="3"/>
    </row>
    <row r="6" ht="15.0" customHeight="1">
      <c r="A6" s="34" t="s">
        <v>301</v>
      </c>
      <c r="B6" s="36">
        <f>'3_Giả định'!B17-'3_Giả định'!B18</f>
        <v>140220.3061</v>
      </c>
      <c r="C6" s="36">
        <f>'3_Giả định'!C17-'3_Giả định'!C18</f>
        <v>124800.3402</v>
      </c>
      <c r="D6" s="36">
        <f>'3_Giả định'!D17-'3_Giả định'!D18</f>
        <v>93960.40819</v>
      </c>
      <c r="E6" s="3"/>
    </row>
    <row r="7" ht="15.0" customHeight="1">
      <c r="A7" s="34" t="s">
        <v>168</v>
      </c>
      <c r="B7" s="41">
        <f t="shared" ref="B7:D7" si="1">IFERROR(B6/B5,0)</f>
        <v>0.9137849863</v>
      </c>
      <c r="C7" s="41">
        <f t="shared" si="1"/>
        <v>0.8946260943</v>
      </c>
      <c r="D7" s="41">
        <f t="shared" si="1"/>
        <v>0.8419391415</v>
      </c>
      <c r="E7" s="3" t="s">
        <v>307</v>
      </c>
    </row>
    <row r="8" ht="15.0" customHeight="1">
      <c r="A8" s="34" t="s">
        <v>309</v>
      </c>
      <c r="B8" s="64">
        <f>IFERROR(1/'3_Giả định'!B9,0)</f>
        <v>11.11111111</v>
      </c>
      <c r="C8" s="64">
        <f>IFERROR(1/'3_Giả định'!C9,0)</f>
        <v>6.666666667</v>
      </c>
      <c r="D8" s="64">
        <f>IFERROR(1/'3_Giả định'!D9,0)</f>
        <v>4.166666667</v>
      </c>
      <c r="E8" s="3"/>
    </row>
    <row r="9" ht="27.0" customHeight="1">
      <c r="A9" s="65" t="s">
        <v>314</v>
      </c>
      <c r="B9" s="36">
        <f t="shared" ref="B9:D9" si="2">B6*B8</f>
        <v>1558003.402</v>
      </c>
      <c r="C9" s="36">
        <f t="shared" si="2"/>
        <v>832002.2677</v>
      </c>
      <c r="D9" s="36">
        <f t="shared" si="2"/>
        <v>391501.7008</v>
      </c>
      <c r="E9" s="3"/>
    </row>
    <row r="10" ht="15.0" customHeight="1">
      <c r="A10" s="34" t="s">
        <v>315</v>
      </c>
      <c r="B10" s="36">
        <f>'3_Giả định'!B10</f>
        <v>560000</v>
      </c>
      <c r="C10" s="36">
        <f>'3_Giả định'!C10</f>
        <v>700000</v>
      </c>
      <c r="D10" s="36">
        <f>'3_Giả định'!D10</f>
        <v>1050000</v>
      </c>
      <c r="E10" s="3"/>
    </row>
    <row r="11" ht="15.0" customHeight="1">
      <c r="A11" s="34" t="s">
        <v>318</v>
      </c>
      <c r="B11" s="67">
        <f t="shared" ref="B11:D11" si="3">IFERROR(B9/B10,0)</f>
        <v>2.782148931</v>
      </c>
      <c r="C11" s="67">
        <f t="shared" si="3"/>
        <v>1.188574668</v>
      </c>
      <c r="D11" s="67">
        <f t="shared" si="3"/>
        <v>0.3728587627</v>
      </c>
      <c r="E11" s="50" t="s">
        <v>320</v>
      </c>
    </row>
    <row r="12" ht="15.0" customHeight="1">
      <c r="A12" s="34" t="s">
        <v>321</v>
      </c>
      <c r="B12" s="64">
        <f t="shared" ref="B12:D12" si="4">IFERROR(B10/B6,0)</f>
        <v>3.993715428</v>
      </c>
      <c r="C12" s="64">
        <f t="shared" si="4"/>
        <v>5.608959071</v>
      </c>
      <c r="D12" s="64">
        <f t="shared" si="4"/>
        <v>11.17491952</v>
      </c>
      <c r="E12" s="3" t="s">
        <v>323</v>
      </c>
    </row>
    <row r="13" ht="15.0" customHeight="1">
      <c r="A13" s="34" t="s">
        <v>324</v>
      </c>
      <c r="B13" s="69" t="str">
        <f t="shared" ref="B13:D13" si="5">IF(B5&lt;=0,"Chưa điền trang 2–3",IF(B6&lt;=0,"Lỗ trên từng khách",IF(AND(B11&gt;3,B12&lt;12,B7&gt;=0.6),"Khỏe",IF(B11&gt;=1,"Cần cải thiện","Đốt tiền"))))</f>
        <v>Cần cải thiện</v>
      </c>
      <c r="C13" s="69" t="str">
        <f t="shared" si="5"/>
        <v>Cần cải thiện</v>
      </c>
      <c r="D13" s="69" t="str">
        <f t="shared" si="5"/>
        <v>Đốt tiền</v>
      </c>
      <c r="E13" s="3"/>
    </row>
    <row r="14">
      <c r="A14" s="3"/>
      <c r="B14" s="3"/>
      <c r="C14" s="3"/>
      <c r="D14" s="3"/>
      <c r="E14" s="3"/>
    </row>
    <row r="15">
      <c r="A15" s="3"/>
      <c r="B15" s="3"/>
      <c r="C15" s="3"/>
      <c r="D15" s="3"/>
      <c r="E15" s="3"/>
    </row>
    <row r="16">
      <c r="A16" s="3"/>
      <c r="B16" s="3"/>
      <c r="C16" s="3"/>
      <c r="D16" s="3"/>
      <c r="E16" s="3"/>
    </row>
    <row r="17">
      <c r="A17" s="3"/>
      <c r="B17" s="3"/>
      <c r="C17" s="3"/>
      <c r="D17" s="3"/>
      <c r="E17" s="3"/>
    </row>
    <row r="18">
      <c r="A18" s="3"/>
      <c r="B18" s="3"/>
      <c r="C18" s="3"/>
      <c r="D18" s="3"/>
      <c r="E18" s="3"/>
    </row>
    <row r="19">
      <c r="A19" s="3"/>
      <c r="B19" s="3"/>
      <c r="C19" s="3"/>
      <c r="D19" s="3"/>
      <c r="E19" s="3"/>
    </row>
    <row r="20">
      <c r="A20" s="3"/>
      <c r="B20" s="3"/>
      <c r="C20" s="3"/>
      <c r="D20" s="3"/>
      <c r="E20" s="3"/>
    </row>
    <row r="21" ht="15.75" customHeight="1">
      <c r="A21" s="3"/>
      <c r="B21" s="3"/>
      <c r="C21" s="3"/>
      <c r="D21" s="3"/>
      <c r="E21" s="3"/>
    </row>
    <row r="22" ht="15.75" customHeight="1">
      <c r="A22" s="3"/>
      <c r="B22" s="3"/>
      <c r="C22" s="3"/>
      <c r="D22" s="3"/>
      <c r="E22" s="3"/>
    </row>
    <row r="23" ht="15.75" customHeight="1">
      <c r="A23" s="3"/>
      <c r="B23" s="3"/>
      <c r="C23" s="3"/>
      <c r="D23" s="3"/>
      <c r="E23" s="3"/>
    </row>
    <row r="24" ht="15.75" customHeight="1">
      <c r="A24" s="3"/>
      <c r="B24" s="3"/>
      <c r="C24" s="3"/>
      <c r="D24" s="3"/>
      <c r="E24" s="3"/>
    </row>
    <row r="25" ht="15.75" customHeight="1">
      <c r="A25" s="3"/>
      <c r="B25" s="3"/>
      <c r="C25" s="3"/>
      <c r="D25" s="3"/>
      <c r="E25" s="3"/>
    </row>
    <row r="26" ht="15.75" customHeight="1">
      <c r="A26" s="3"/>
      <c r="B26" s="3"/>
      <c r="C26" s="3"/>
      <c r="D26" s="3"/>
      <c r="E26" s="3"/>
    </row>
    <row r="27" ht="15.75" customHeight="1">
      <c r="A27" s="3"/>
      <c r="B27" s="3"/>
      <c r="C27" s="3"/>
      <c r="D27" s="3"/>
      <c r="E27" s="3"/>
    </row>
    <row r="28" ht="15.75" customHeight="1">
      <c r="A28" s="3"/>
      <c r="B28" s="3"/>
      <c r="C28" s="3"/>
      <c r="D28" s="3"/>
      <c r="E28" s="3"/>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38.0"/>
    <col customWidth="1" min="2" max="26" width="18.0"/>
  </cols>
  <sheetData>
    <row r="1" ht="17.25" customHeight="1">
      <c r="A1" s="1" t="s">
        <v>358</v>
      </c>
      <c r="B1" s="3"/>
      <c r="C1" s="3"/>
      <c r="D1" s="3"/>
      <c r="E1" s="3"/>
      <c r="F1" s="3"/>
      <c r="G1" s="3"/>
      <c r="H1" s="3"/>
      <c r="I1" s="3"/>
      <c r="J1" s="3"/>
      <c r="K1" s="3"/>
      <c r="L1" s="3"/>
      <c r="M1" s="3"/>
      <c r="N1" s="3"/>
      <c r="O1" s="3"/>
      <c r="P1" s="3"/>
      <c r="Q1" s="3"/>
      <c r="R1" s="3"/>
      <c r="S1" s="3"/>
      <c r="T1" s="3"/>
      <c r="U1" s="3"/>
      <c r="V1" s="3"/>
      <c r="W1" s="3"/>
      <c r="X1" s="3"/>
      <c r="Y1" s="3"/>
      <c r="Z1" s="3"/>
    </row>
    <row r="2" ht="15.0" customHeight="1">
      <c r="A2" s="5" t="s">
        <v>359</v>
      </c>
      <c r="B2" s="3"/>
      <c r="C2" s="3"/>
      <c r="D2" s="3"/>
      <c r="E2" s="3"/>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ht="15.0" customHeight="1">
      <c r="A4" s="9" t="s">
        <v>360</v>
      </c>
      <c r="B4" s="9" t="s">
        <v>361</v>
      </c>
      <c r="C4" s="9" t="s">
        <v>363</v>
      </c>
      <c r="D4" s="9" t="s">
        <v>364</v>
      </c>
      <c r="E4" s="9" t="s">
        <v>365</v>
      </c>
      <c r="F4" s="9" t="s">
        <v>366</v>
      </c>
      <c r="G4" s="9" t="s">
        <v>367</v>
      </c>
      <c r="H4" s="9" t="s">
        <v>368</v>
      </c>
      <c r="I4" s="9" t="s">
        <v>369</v>
      </c>
      <c r="J4" s="9" t="s">
        <v>370</v>
      </c>
      <c r="K4" s="9" t="s">
        <v>371</v>
      </c>
      <c r="L4" s="9" t="s">
        <v>372</v>
      </c>
      <c r="M4" s="9" t="s">
        <v>373</v>
      </c>
      <c r="N4" s="9" t="s">
        <v>374</v>
      </c>
      <c r="O4" s="9" t="s">
        <v>375</v>
      </c>
      <c r="P4" s="9" t="s">
        <v>376</v>
      </c>
      <c r="Q4" s="9" t="s">
        <v>377</v>
      </c>
      <c r="R4" s="9" t="s">
        <v>378</v>
      </c>
      <c r="S4" s="9" t="s">
        <v>379</v>
      </c>
      <c r="T4" s="9" t="s">
        <v>380</v>
      </c>
      <c r="U4" s="9" t="s">
        <v>381</v>
      </c>
      <c r="V4" s="9" t="s">
        <v>383</v>
      </c>
      <c r="W4" s="9" t="s">
        <v>384</v>
      </c>
      <c r="X4" s="9" t="s">
        <v>386</v>
      </c>
      <c r="Y4" s="9" t="s">
        <v>387</v>
      </c>
      <c r="Z4" s="9" t="s">
        <v>388</v>
      </c>
    </row>
    <row r="5" ht="15.0" customHeight="1">
      <c r="A5" s="75" t="s">
        <v>389</v>
      </c>
      <c r="B5" s="3"/>
      <c r="C5" s="3"/>
      <c r="D5" s="3"/>
      <c r="E5" s="3"/>
      <c r="F5" s="3"/>
      <c r="G5" s="3"/>
      <c r="H5" s="3"/>
      <c r="I5" s="3"/>
      <c r="J5" s="3"/>
      <c r="K5" s="3"/>
      <c r="L5" s="3"/>
      <c r="M5" s="3"/>
      <c r="N5" s="3"/>
      <c r="O5" s="3"/>
      <c r="P5" s="3"/>
      <c r="Q5" s="3"/>
      <c r="R5" s="3"/>
      <c r="S5" s="3"/>
      <c r="T5" s="3"/>
      <c r="U5" s="3"/>
      <c r="V5" s="3"/>
      <c r="W5" s="3"/>
      <c r="X5" s="3"/>
      <c r="Y5" s="3"/>
      <c r="Z5" s="3"/>
    </row>
    <row r="6" ht="15.0" customHeight="1">
      <c r="A6" s="34" t="s">
        <v>390</v>
      </c>
      <c r="B6" s="3"/>
      <c r="C6" s="77">
        <f>'3_Giả định'!$B$7*(1+'3_Giả định'!$B$8)^0</f>
        <v>390</v>
      </c>
      <c r="D6" s="77">
        <f>'3_Giả định'!$B$7*(1+'3_Giả định'!$B$8)^1</f>
        <v>439.92</v>
      </c>
      <c r="E6" s="77">
        <f>'3_Giả định'!$B$7*(1+'3_Giả định'!$B$8)^2</f>
        <v>496.22976</v>
      </c>
      <c r="F6" s="77">
        <f>'3_Giả định'!$B$7*(1+'3_Giả định'!$B$8)^3</f>
        <v>559.7471693</v>
      </c>
      <c r="G6" s="77">
        <f>'3_Giả định'!$B$7*(1+'3_Giả định'!$B$8)^4</f>
        <v>631.3948069</v>
      </c>
      <c r="H6" s="77">
        <f>'3_Giả định'!$B$7*(1+'3_Giả định'!$B$8)^5</f>
        <v>712.2133422</v>
      </c>
      <c r="I6" s="77">
        <f>'3_Giả định'!$B$7*(1+'3_Giả định'!$B$8)^6</f>
        <v>803.37665</v>
      </c>
      <c r="J6" s="77">
        <f>'3_Giả định'!$B$7*(1+'3_Giả định'!$B$8)^7</f>
        <v>906.2088612</v>
      </c>
      <c r="K6" s="77">
        <f>'3_Giả định'!$B$7*(1+'3_Giả định'!$B$8)^8</f>
        <v>1022.203595</v>
      </c>
      <c r="L6" s="77">
        <f>'3_Giả định'!$B$7*(1+'3_Giả định'!$B$8)^9</f>
        <v>1153.045656</v>
      </c>
      <c r="M6" s="77">
        <f>'3_Giả định'!$B$7*(1+'3_Giả định'!$B$8)^10</f>
        <v>1300.6355</v>
      </c>
      <c r="N6" s="77">
        <f>'3_Giả định'!$B$7*(1+'3_Giả định'!$B$8)^11</f>
        <v>1467.116844</v>
      </c>
      <c r="O6" s="77">
        <f>'3_Giả định'!$B$7*(1+'3_Giả định'!$B$8)^12</f>
        <v>1654.9078</v>
      </c>
      <c r="P6" s="77">
        <f>'3_Giả định'!$B$7*(1+'3_Giả định'!$B$8)^13</f>
        <v>1866.735998</v>
      </c>
      <c r="Q6" s="77">
        <f>'3_Giả định'!$B$7*(1+'3_Giả định'!$B$8)^14</f>
        <v>2105.678206</v>
      </c>
      <c r="R6" s="77">
        <f>'3_Giả định'!$B$7*(1+'3_Giả định'!$B$8)^15</f>
        <v>2375.205016</v>
      </c>
      <c r="S6" s="77">
        <f>'3_Giả định'!$B$7*(1+'3_Giả định'!$B$8)^16</f>
        <v>2679.231258</v>
      </c>
      <c r="T6" s="77">
        <f>'3_Giả định'!$B$7*(1+'3_Giả định'!$B$8)^17</f>
        <v>3022.172859</v>
      </c>
      <c r="U6" s="77">
        <f>'3_Giả định'!$B$7*(1+'3_Giả định'!$B$8)^18</f>
        <v>3409.010985</v>
      </c>
      <c r="V6" s="77">
        <f>'3_Giả định'!$B$7*(1+'3_Giả định'!$B$8)^19</f>
        <v>3845.364391</v>
      </c>
      <c r="W6" s="77">
        <f>'3_Giả định'!$B$7*(1+'3_Giả định'!$B$8)^20</f>
        <v>4337.571033</v>
      </c>
      <c r="X6" s="77">
        <f>'3_Giả định'!$B$7*(1+'3_Giả định'!$B$8)^21</f>
        <v>4892.780125</v>
      </c>
      <c r="Y6" s="77">
        <f>'3_Giả định'!$B$7*(1+'3_Giả định'!$B$8)^22</f>
        <v>5519.055981</v>
      </c>
      <c r="Z6" s="77">
        <f>'3_Giả định'!$B$7*(1+'3_Giả định'!$B$8)^23</f>
        <v>6225.495147</v>
      </c>
    </row>
    <row r="7" ht="15.0" customHeight="1">
      <c r="A7" s="34" t="s">
        <v>427</v>
      </c>
      <c r="B7" s="3">
        <v>0.0</v>
      </c>
      <c r="C7" s="77">
        <f>B7*(1-'3_Giả định'!$B$9)+C6</f>
        <v>390</v>
      </c>
      <c r="D7" s="77">
        <f>C7*(1-'3_Giả định'!$B$9)+D6</f>
        <v>794.82</v>
      </c>
      <c r="E7" s="77">
        <f>D7*(1-'3_Giả định'!$B$9)+E6</f>
        <v>1219.51596</v>
      </c>
      <c r="F7" s="77">
        <f>E7*(1-'3_Giả định'!$B$9)+F6</f>
        <v>1669.506693</v>
      </c>
      <c r="G7" s="77">
        <f>F7*(1-'3_Giả định'!$B$9)+G6</f>
        <v>2150.645897</v>
      </c>
      <c r="H7" s="77">
        <f>G7*(1-'3_Giả định'!$B$9)+H6</f>
        <v>2669.301109</v>
      </c>
      <c r="I7" s="77">
        <f>H7*(1-'3_Giả định'!$B$9)+I6</f>
        <v>3232.440659</v>
      </c>
      <c r="J7" s="77">
        <f>I7*(1-'3_Giả định'!$B$9)+J6</f>
        <v>3847.729861</v>
      </c>
      <c r="K7" s="77">
        <f>J7*(1-'3_Giả định'!$B$9)+K6</f>
        <v>4523.637769</v>
      </c>
      <c r="L7" s="77">
        <f>K7*(1-'3_Giả định'!$B$9)+L6</f>
        <v>5269.556026</v>
      </c>
      <c r="M7" s="77">
        <f>L7*(1-'3_Giả định'!$B$9)+M6</f>
        <v>6095.931483</v>
      </c>
      <c r="N7" s="77">
        <f>M7*(1-'3_Giả định'!$B$9)+N6</f>
        <v>7014.414493</v>
      </c>
      <c r="O7" s="77">
        <f>N7*(1-'3_Giả định'!$B$9)+O6</f>
        <v>8038.024988</v>
      </c>
      <c r="P7" s="77">
        <f>O7*(1-'3_Giả định'!$B$9)+P6</f>
        <v>9181.338737</v>
      </c>
      <c r="Q7" s="77">
        <f>P7*(1-'3_Giả định'!$B$9)+Q6</f>
        <v>10460.69646</v>
      </c>
      <c r="R7" s="77">
        <f>Q7*(1-'3_Giả định'!$B$9)+R6</f>
        <v>11894.43879</v>
      </c>
      <c r="S7" s="77">
        <f>R7*(1-'3_Giả định'!$B$9)+S6</f>
        <v>13503.17056</v>
      </c>
      <c r="T7" s="77">
        <f>S7*(1-'3_Giả định'!$B$9)+T6</f>
        <v>15310.05807</v>
      </c>
      <c r="U7" s="77">
        <f>T7*(1-'3_Giả định'!$B$9)+U6</f>
        <v>17341.16383</v>
      </c>
      <c r="V7" s="77">
        <f>U7*(1-'3_Giả định'!$B$9)+V6</f>
        <v>19625.82347</v>
      </c>
      <c r="W7" s="77">
        <f>V7*(1-'3_Giả định'!$B$9)+W6</f>
        <v>22197.07039</v>
      </c>
      <c r="X7" s="77">
        <f>W7*(1-'3_Giả định'!$B$9)+X6</f>
        <v>25092.11418</v>
      </c>
      <c r="Y7" s="77">
        <f>X7*(1-'3_Giả định'!$B$9)+Y6</f>
        <v>28352.87989</v>
      </c>
      <c r="Z7" s="77">
        <f>Y7*(1-'3_Giả định'!$B$9)+Z6</f>
        <v>32026.61585</v>
      </c>
    </row>
    <row r="8" ht="15.0" customHeight="1">
      <c r="A8" s="34" t="s">
        <v>132</v>
      </c>
      <c r="B8" s="3"/>
      <c r="C8" s="86">
        <f>C7*'3_Giả định'!$B$17</f>
        <v>59845500</v>
      </c>
      <c r="D8" s="86">
        <f>D7*'3_Giả định'!$B$17</f>
        <v>121965129</v>
      </c>
      <c r="E8" s="86">
        <f>E7*'3_Giả định'!$B$17</f>
        <v>187134724.1</v>
      </c>
      <c r="F8" s="86">
        <f>F7*'3_Giả định'!$B$17</f>
        <v>256185802</v>
      </c>
      <c r="G8" s="86">
        <f>G7*'3_Giả định'!$B$17</f>
        <v>330016613</v>
      </c>
      <c r="H8" s="86">
        <f>H7*'3_Giả định'!$B$17</f>
        <v>409604255.2</v>
      </c>
      <c r="I8" s="86">
        <f>I7*'3_Giả định'!$B$17</f>
        <v>496018019.2</v>
      </c>
      <c r="J8" s="86">
        <f>J7*'3_Giả định'!$B$17</f>
        <v>590434147.2</v>
      </c>
      <c r="K8" s="86">
        <f>K7*'3_Giả định'!$B$17</f>
        <v>694152215.7</v>
      </c>
      <c r="L8" s="86">
        <f>L7*'3_Giả định'!$B$17</f>
        <v>808613372.1</v>
      </c>
      <c r="M8" s="86">
        <f>M7*'3_Giả định'!$B$17</f>
        <v>935420686.1</v>
      </c>
      <c r="N8" s="86">
        <f>N7*'3_Giả định'!$B$17</f>
        <v>1076361904</v>
      </c>
      <c r="O8" s="86">
        <f>O7*'3_Giả định'!$B$17</f>
        <v>1233434934</v>
      </c>
      <c r="P8" s="86">
        <f>P7*'3_Giả định'!$B$17</f>
        <v>1408876429</v>
      </c>
      <c r="Q8" s="86">
        <f>Q7*'3_Giả định'!$B$17</f>
        <v>1605193871</v>
      </c>
      <c r="R8" s="86">
        <f>R7*'3_Giả định'!$B$17</f>
        <v>1825201633</v>
      </c>
      <c r="S8" s="86">
        <f>S7*'3_Giả định'!$B$17</f>
        <v>2072061522</v>
      </c>
      <c r="T8" s="86">
        <f>T7*'3_Giả định'!$B$17</f>
        <v>2349328410</v>
      </c>
      <c r="U8" s="86">
        <f>U7*'3_Giả định'!$B$17</f>
        <v>2661001589</v>
      </c>
      <c r="V8" s="86">
        <f>V7*'3_Giả định'!$B$17</f>
        <v>3011582612</v>
      </c>
      <c r="W8" s="86">
        <f>W7*'3_Giả định'!$B$17</f>
        <v>3406140452</v>
      </c>
      <c r="X8" s="86">
        <f>X7*'3_Giả định'!$B$17</f>
        <v>3850384921</v>
      </c>
      <c r="Y8" s="86">
        <f>Y7*'3_Giả định'!$B$17</f>
        <v>4350749419</v>
      </c>
      <c r="Z8" s="86">
        <f>Z7*'3_Giả định'!$B$17</f>
        <v>4914484201</v>
      </c>
    </row>
    <row r="9" ht="15.0" customHeight="1">
      <c r="A9" s="34" t="s">
        <v>448</v>
      </c>
      <c r="B9" s="3"/>
      <c r="C9" s="86">
        <f>C7*'3_Giả định'!$B$18</f>
        <v>5159580.604</v>
      </c>
      <c r="D9" s="86">
        <f>D7*'3_Giả định'!$B$18</f>
        <v>10515225.27</v>
      </c>
      <c r="E9" s="86">
        <f>E7*'3_Giả định'!$B$18</f>
        <v>16133822.8</v>
      </c>
      <c r="F9" s="86">
        <f>F7*'3_Giả định'!$B$18</f>
        <v>22087062.44</v>
      </c>
      <c r="G9" s="86">
        <f>G7*'3_Giả định'!$B$18</f>
        <v>28452386.82</v>
      </c>
      <c r="H9" s="86">
        <f>H7*'3_Giả định'!$B$18</f>
        <v>35314036.48</v>
      </c>
      <c r="I9" s="86">
        <f>I7*'3_Giả định'!$B$18</f>
        <v>42764200.33</v>
      </c>
      <c r="J9" s="86">
        <f>J7*'3_Giả định'!$B$18</f>
        <v>50904288.1</v>
      </c>
      <c r="K9" s="86">
        <f>K7*'3_Giả định'!$B$18</f>
        <v>59846342.8</v>
      </c>
      <c r="L9" s="86">
        <f>L7*'3_Giả định'!$B$18</f>
        <v>69714612.98</v>
      </c>
      <c r="M9" s="86">
        <f>M7*'3_Giả định'!$B$18</f>
        <v>80647307.29</v>
      </c>
      <c r="N9" s="86">
        <f>N7*'3_Giả định'!$B$18</f>
        <v>92798556.32</v>
      </c>
      <c r="O9" s="86">
        <f>O7*'3_Giả định'!$B$18</f>
        <v>106340609.8</v>
      </c>
      <c r="P9" s="86">
        <f>P7*'3_Giả định'!$B$18</f>
        <v>121466300.7</v>
      </c>
      <c r="Q9" s="86">
        <f>Q7*'3_Giả định'!$B$18</f>
        <v>138391811.6</v>
      </c>
      <c r="R9" s="86">
        <f>R7*'3_Giả định'!$B$18</f>
        <v>157359783.8</v>
      </c>
      <c r="S9" s="86">
        <f>S7*'3_Giả định'!$B$18</f>
        <v>178642812.6</v>
      </c>
      <c r="T9" s="86">
        <f>T7*'3_Giả định'!$B$18</f>
        <v>202547381.1</v>
      </c>
      <c r="U9" s="86">
        <f>U7*'3_Giả định'!$B$18</f>
        <v>229418288.5</v>
      </c>
      <c r="V9" s="86">
        <f>V7*'3_Giả định'!$B$18</f>
        <v>259643636.2</v>
      </c>
      <c r="W9" s="86">
        <f>W7*'3_Giả định'!$B$18</f>
        <v>293660445.8</v>
      </c>
      <c r="X9" s="86">
        <f>X7*'3_Giả định'!$B$18</f>
        <v>331960988.8</v>
      </c>
      <c r="Y9" s="86">
        <f>Y7*'3_Giả định'!$B$18</f>
        <v>375099920.9</v>
      </c>
      <c r="Z9" s="86">
        <f>Z7*'3_Giả định'!$B$18</f>
        <v>423702322.9</v>
      </c>
    </row>
    <row r="10" ht="15.0" customHeight="1">
      <c r="A10" s="34" t="s">
        <v>150</v>
      </c>
      <c r="B10" s="3"/>
      <c r="C10" s="86">
        <f t="shared" ref="C10:Z10" si="1">C8-C9</f>
        <v>54685919.4</v>
      </c>
      <c r="D10" s="86">
        <f t="shared" si="1"/>
        <v>111449903.7</v>
      </c>
      <c r="E10" s="86">
        <f t="shared" si="1"/>
        <v>171000901.3</v>
      </c>
      <c r="F10" s="86">
        <f t="shared" si="1"/>
        <v>234098739.6</v>
      </c>
      <c r="G10" s="86">
        <f t="shared" si="1"/>
        <v>301564226.2</v>
      </c>
      <c r="H10" s="86">
        <f t="shared" si="1"/>
        <v>374290218.7</v>
      </c>
      <c r="I10" s="86">
        <f t="shared" si="1"/>
        <v>453253818.8</v>
      </c>
      <c r="J10" s="86">
        <f t="shared" si="1"/>
        <v>539529859.1</v>
      </c>
      <c r="K10" s="86">
        <f t="shared" si="1"/>
        <v>634305872.9</v>
      </c>
      <c r="L10" s="86">
        <f t="shared" si="1"/>
        <v>738898759.1</v>
      </c>
      <c r="M10" s="86">
        <f t="shared" si="1"/>
        <v>854773378.8</v>
      </c>
      <c r="N10" s="86">
        <f t="shared" si="1"/>
        <v>983563347.6</v>
      </c>
      <c r="O10" s="86">
        <f t="shared" si="1"/>
        <v>1127094325</v>
      </c>
      <c r="P10" s="86">
        <f t="shared" si="1"/>
        <v>1287410129</v>
      </c>
      <c r="Q10" s="86">
        <f t="shared" si="1"/>
        <v>1466802060</v>
      </c>
      <c r="R10" s="86">
        <f t="shared" si="1"/>
        <v>1667841849</v>
      </c>
      <c r="S10" s="86">
        <f t="shared" si="1"/>
        <v>1893418710</v>
      </c>
      <c r="T10" s="86">
        <f t="shared" si="1"/>
        <v>2146781029</v>
      </c>
      <c r="U10" s="86">
        <f t="shared" si="1"/>
        <v>2431583301</v>
      </c>
      <c r="V10" s="86">
        <f t="shared" si="1"/>
        <v>2751938976</v>
      </c>
      <c r="W10" s="86">
        <f t="shared" si="1"/>
        <v>3112480006</v>
      </c>
      <c r="X10" s="86">
        <f t="shared" si="1"/>
        <v>3518423933</v>
      </c>
      <c r="Y10" s="86">
        <f t="shared" si="1"/>
        <v>3975649498</v>
      </c>
      <c r="Z10" s="86">
        <f t="shared" si="1"/>
        <v>4490781879</v>
      </c>
    </row>
    <row r="11" ht="15.0" customHeight="1">
      <c r="A11" s="34" t="s">
        <v>490</v>
      </c>
      <c r="B11" s="3"/>
      <c r="C11" s="86">
        <f>C6*'3_Giả định'!$B$10</f>
        <v>218400000</v>
      </c>
      <c r="D11" s="86">
        <f>D6*'3_Giả định'!$B$10</f>
        <v>246355200</v>
      </c>
      <c r="E11" s="86">
        <f>E6*'3_Giả định'!$B$10</f>
        <v>277888665.6</v>
      </c>
      <c r="F11" s="86">
        <f>F6*'3_Giả định'!$B$10</f>
        <v>313458414.8</v>
      </c>
      <c r="G11" s="86">
        <f>G6*'3_Giả định'!$B$10</f>
        <v>353581091.9</v>
      </c>
      <c r="H11" s="86">
        <f>H6*'3_Giả định'!$B$10</f>
        <v>398839471.7</v>
      </c>
      <c r="I11" s="86">
        <f>I6*'3_Giả định'!$B$10</f>
        <v>449890924</v>
      </c>
      <c r="J11" s="86">
        <f>J6*'3_Giả định'!$B$10</f>
        <v>507476962.3</v>
      </c>
      <c r="K11" s="86">
        <f>K6*'3_Giả định'!$B$10</f>
        <v>572434013.5</v>
      </c>
      <c r="L11" s="86">
        <f>L6*'3_Giả định'!$B$10</f>
        <v>645705567.2</v>
      </c>
      <c r="M11" s="86">
        <f>M6*'3_Giả định'!$B$10</f>
        <v>728355879.8</v>
      </c>
      <c r="N11" s="86">
        <f>N6*'3_Giả định'!$B$10</f>
        <v>821585432.4</v>
      </c>
      <c r="O11" s="86">
        <f>O6*'3_Giả định'!$B$10</f>
        <v>926748367.8</v>
      </c>
      <c r="P11" s="86">
        <f>P6*'3_Giả định'!$B$10</f>
        <v>1045372159</v>
      </c>
      <c r="Q11" s="86">
        <f>Q6*'3_Giả định'!$B$10</f>
        <v>1179179795</v>
      </c>
      <c r="R11" s="86">
        <f>R6*'3_Giả định'!$B$10</f>
        <v>1330114809</v>
      </c>
      <c r="S11" s="86">
        <f>S6*'3_Giả định'!$B$10</f>
        <v>1500369504</v>
      </c>
      <c r="T11" s="86">
        <f>T6*'3_Giả định'!$B$10</f>
        <v>1692416801</v>
      </c>
      <c r="U11" s="86">
        <f>U6*'3_Giả định'!$B$10</f>
        <v>1909046152</v>
      </c>
      <c r="V11" s="86">
        <f>V6*'3_Giả định'!$B$10</f>
        <v>2153404059</v>
      </c>
      <c r="W11" s="86">
        <f>W6*'3_Giả định'!$B$10</f>
        <v>2429039779</v>
      </c>
      <c r="X11" s="86">
        <f>X6*'3_Giả định'!$B$10</f>
        <v>2739956870</v>
      </c>
      <c r="Y11" s="86">
        <f>Y6*'3_Giả định'!$B$10</f>
        <v>3090671350</v>
      </c>
      <c r="Z11" s="86">
        <f>Z6*'3_Giả định'!$B$10</f>
        <v>3486277282</v>
      </c>
    </row>
    <row r="12" ht="15.0" customHeight="1">
      <c r="A12" s="34" t="s">
        <v>495</v>
      </c>
      <c r="B12" s="3"/>
      <c r="C12" s="86">
        <f>'3_Giả định'!$B$11</f>
        <v>120000000</v>
      </c>
      <c r="D12" s="86">
        <f>'3_Giả định'!$B$11</f>
        <v>120000000</v>
      </c>
      <c r="E12" s="86">
        <f>'3_Giả định'!$B$11</f>
        <v>120000000</v>
      </c>
      <c r="F12" s="86">
        <f>'3_Giả định'!$B$11</f>
        <v>120000000</v>
      </c>
      <c r="G12" s="86">
        <f>'3_Giả định'!$B$11</f>
        <v>120000000</v>
      </c>
      <c r="H12" s="86">
        <f>'3_Giả định'!$B$11</f>
        <v>120000000</v>
      </c>
      <c r="I12" s="86">
        <f>'3_Giả định'!$B$11</f>
        <v>120000000</v>
      </c>
      <c r="J12" s="86">
        <f>'3_Giả định'!$B$11</f>
        <v>120000000</v>
      </c>
      <c r="K12" s="86">
        <f>'3_Giả định'!$B$11</f>
        <v>120000000</v>
      </c>
      <c r="L12" s="86">
        <f>'3_Giả định'!$B$11</f>
        <v>120000000</v>
      </c>
      <c r="M12" s="86">
        <f>'3_Giả định'!$B$11</f>
        <v>120000000</v>
      </c>
      <c r="N12" s="86">
        <f>'3_Giả định'!$B$11</f>
        <v>120000000</v>
      </c>
      <c r="O12" s="86">
        <f>'3_Giả định'!$B$11</f>
        <v>120000000</v>
      </c>
      <c r="P12" s="86">
        <f>'3_Giả định'!$B$11</f>
        <v>120000000</v>
      </c>
      <c r="Q12" s="86">
        <f>'3_Giả định'!$B$11</f>
        <v>120000000</v>
      </c>
      <c r="R12" s="86">
        <f>'3_Giả định'!$B$11</f>
        <v>120000000</v>
      </c>
      <c r="S12" s="86">
        <f>'3_Giả định'!$B$11</f>
        <v>120000000</v>
      </c>
      <c r="T12" s="86">
        <f>'3_Giả định'!$B$11</f>
        <v>120000000</v>
      </c>
      <c r="U12" s="86">
        <f>'3_Giả định'!$B$11</f>
        <v>120000000</v>
      </c>
      <c r="V12" s="86">
        <f>'3_Giả định'!$B$11</f>
        <v>120000000</v>
      </c>
      <c r="W12" s="86">
        <f>'3_Giả định'!$B$11</f>
        <v>120000000</v>
      </c>
      <c r="X12" s="86">
        <f>'3_Giả định'!$B$11</f>
        <v>120000000</v>
      </c>
      <c r="Y12" s="86">
        <f>'3_Giả định'!$B$11</f>
        <v>120000000</v>
      </c>
      <c r="Z12" s="86">
        <f>'3_Giả định'!$B$11</f>
        <v>120000000</v>
      </c>
    </row>
    <row r="13" ht="15.0" customHeight="1">
      <c r="A13" s="34" t="s">
        <v>541</v>
      </c>
      <c r="B13" s="86">
        <f>-'3_Giả định'!$B$12</f>
        <v>-400000000</v>
      </c>
      <c r="C13" s="86">
        <f t="shared" ref="C13:Z13" si="2">C10-C11-C12</f>
        <v>-283714080.6</v>
      </c>
      <c r="D13" s="86">
        <f t="shared" si="2"/>
        <v>-254905296.3</v>
      </c>
      <c r="E13" s="86">
        <f t="shared" si="2"/>
        <v>-226887764.3</v>
      </c>
      <c r="F13" s="86">
        <f t="shared" si="2"/>
        <v>-199359675.2</v>
      </c>
      <c r="G13" s="86">
        <f t="shared" si="2"/>
        <v>-172016865.7</v>
      </c>
      <c r="H13" s="86">
        <f t="shared" si="2"/>
        <v>-144549253</v>
      </c>
      <c r="I13" s="86">
        <f t="shared" si="2"/>
        <v>-116637105.2</v>
      </c>
      <c r="J13" s="86">
        <f t="shared" si="2"/>
        <v>-87947103.22</v>
      </c>
      <c r="K13" s="86">
        <f t="shared" si="2"/>
        <v>-58128140.61</v>
      </c>
      <c r="L13" s="86">
        <f t="shared" si="2"/>
        <v>-26806808.05</v>
      </c>
      <c r="M13" s="86">
        <f t="shared" si="2"/>
        <v>6417498.968</v>
      </c>
      <c r="N13" s="86">
        <f t="shared" si="2"/>
        <v>41977915.22</v>
      </c>
      <c r="O13" s="86">
        <f t="shared" si="2"/>
        <v>80345956.88</v>
      </c>
      <c r="P13" s="86">
        <f t="shared" si="2"/>
        <v>122037969.7</v>
      </c>
      <c r="Q13" s="86">
        <f t="shared" si="2"/>
        <v>167622264.4</v>
      </c>
      <c r="R13" s="86">
        <f t="shared" si="2"/>
        <v>217727039.8</v>
      </c>
      <c r="S13" s="86">
        <f t="shared" si="2"/>
        <v>273049205.1</v>
      </c>
      <c r="T13" s="86">
        <f t="shared" si="2"/>
        <v>334364228.2</v>
      </c>
      <c r="U13" s="86">
        <f t="shared" si="2"/>
        <v>402537149</v>
      </c>
      <c r="V13" s="86">
        <f t="shared" si="2"/>
        <v>478534916.7</v>
      </c>
      <c r="W13" s="86">
        <f t="shared" si="2"/>
        <v>563440227.5</v>
      </c>
      <c r="X13" s="86">
        <f t="shared" si="2"/>
        <v>658467062.4</v>
      </c>
      <c r="Y13" s="86">
        <f t="shared" si="2"/>
        <v>764978148.4</v>
      </c>
      <c r="Z13" s="86">
        <f t="shared" si="2"/>
        <v>884504596.2</v>
      </c>
    </row>
    <row r="14" ht="15.0" customHeight="1">
      <c r="A14" s="34" t="s">
        <v>542</v>
      </c>
      <c r="B14" s="86">
        <f>'3_Giả định'!$B$13+B13</f>
        <v>1100000000</v>
      </c>
      <c r="C14" s="86">
        <f t="shared" ref="C14:Z14" si="3">B14+C13</f>
        <v>816285919.4</v>
      </c>
      <c r="D14" s="86">
        <f t="shared" si="3"/>
        <v>561380623.1</v>
      </c>
      <c r="E14" s="86">
        <f t="shared" si="3"/>
        <v>334492858.8</v>
      </c>
      <c r="F14" s="86">
        <f t="shared" si="3"/>
        <v>135133183.6</v>
      </c>
      <c r="G14" s="86">
        <f t="shared" si="3"/>
        <v>-36883682.17</v>
      </c>
      <c r="H14" s="86">
        <f t="shared" si="3"/>
        <v>-181432935.1</v>
      </c>
      <c r="I14" s="86">
        <f t="shared" si="3"/>
        <v>-298070040.3</v>
      </c>
      <c r="J14" s="86">
        <f t="shared" si="3"/>
        <v>-386017143.6</v>
      </c>
      <c r="K14" s="86">
        <f t="shared" si="3"/>
        <v>-444145284.2</v>
      </c>
      <c r="L14" s="86">
        <f t="shared" si="3"/>
        <v>-470952092.2</v>
      </c>
      <c r="M14" s="86">
        <f t="shared" si="3"/>
        <v>-464534593.2</v>
      </c>
      <c r="N14" s="86">
        <f t="shared" si="3"/>
        <v>-422556678</v>
      </c>
      <c r="O14" s="86">
        <f t="shared" si="3"/>
        <v>-342210721.1</v>
      </c>
      <c r="P14" s="86">
        <f t="shared" si="3"/>
        <v>-220172751.4</v>
      </c>
      <c r="Q14" s="86">
        <f t="shared" si="3"/>
        <v>-52550486.98</v>
      </c>
      <c r="R14" s="86">
        <f t="shared" si="3"/>
        <v>165176552.8</v>
      </c>
      <c r="S14" s="86">
        <f t="shared" si="3"/>
        <v>438225757.9</v>
      </c>
      <c r="T14" s="86">
        <f t="shared" si="3"/>
        <v>772589986.1</v>
      </c>
      <c r="U14" s="86">
        <f t="shared" si="3"/>
        <v>1175127135</v>
      </c>
      <c r="V14" s="86">
        <f t="shared" si="3"/>
        <v>1653662052</v>
      </c>
      <c r="W14" s="86">
        <f t="shared" si="3"/>
        <v>2217102279</v>
      </c>
      <c r="X14" s="86">
        <f t="shared" si="3"/>
        <v>2875569342</v>
      </c>
      <c r="Y14" s="86">
        <f t="shared" si="3"/>
        <v>3640547490</v>
      </c>
      <c r="Z14" s="86">
        <f t="shared" si="3"/>
        <v>4525052086</v>
      </c>
    </row>
    <row r="15" ht="15.0" customHeight="1">
      <c r="A15" s="34" t="s">
        <v>543</v>
      </c>
      <c r="B15" s="86">
        <f>B13</f>
        <v>-400000000</v>
      </c>
      <c r="C15" s="86">
        <f t="shared" ref="C15:Z15" si="4">B15+C13</f>
        <v>-683714080.6</v>
      </c>
      <c r="D15" s="86">
        <f t="shared" si="4"/>
        <v>-938619376.9</v>
      </c>
      <c r="E15" s="86">
        <f t="shared" si="4"/>
        <v>-1165507141</v>
      </c>
      <c r="F15" s="86">
        <f t="shared" si="4"/>
        <v>-1364866816</v>
      </c>
      <c r="G15" s="86">
        <f t="shared" si="4"/>
        <v>-1536883682</v>
      </c>
      <c r="H15" s="86">
        <f t="shared" si="4"/>
        <v>-1681432935</v>
      </c>
      <c r="I15" s="86">
        <f t="shared" si="4"/>
        <v>-1798070040</v>
      </c>
      <c r="J15" s="86">
        <f t="shared" si="4"/>
        <v>-1886017144</v>
      </c>
      <c r="K15" s="86">
        <f t="shared" si="4"/>
        <v>-1944145284</v>
      </c>
      <c r="L15" s="86">
        <f t="shared" si="4"/>
        <v>-1970952092</v>
      </c>
      <c r="M15" s="86">
        <f t="shared" si="4"/>
        <v>-1964534593</v>
      </c>
      <c r="N15" s="86">
        <f t="shared" si="4"/>
        <v>-1922556678</v>
      </c>
      <c r="O15" s="86">
        <f t="shared" si="4"/>
        <v>-1842210721</v>
      </c>
      <c r="P15" s="86">
        <f t="shared" si="4"/>
        <v>-1720172751</v>
      </c>
      <c r="Q15" s="86">
        <f t="shared" si="4"/>
        <v>-1552550487</v>
      </c>
      <c r="R15" s="86">
        <f t="shared" si="4"/>
        <v>-1334823447</v>
      </c>
      <c r="S15" s="86">
        <f t="shared" si="4"/>
        <v>-1061774242</v>
      </c>
      <c r="T15" s="86">
        <f t="shared" si="4"/>
        <v>-727410013.9</v>
      </c>
      <c r="U15" s="86">
        <f t="shared" si="4"/>
        <v>-324872864.9</v>
      </c>
      <c r="V15" s="86">
        <f t="shared" si="4"/>
        <v>153662051.7</v>
      </c>
      <c r="W15" s="86">
        <f t="shared" si="4"/>
        <v>717102279.2</v>
      </c>
      <c r="X15" s="86">
        <f t="shared" si="4"/>
        <v>1375569342</v>
      </c>
      <c r="Y15" s="86">
        <f t="shared" si="4"/>
        <v>2140547490</v>
      </c>
      <c r="Z15" s="86">
        <f t="shared" si="4"/>
        <v>3025052086</v>
      </c>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ht="15.0" customHeight="1">
      <c r="A17" s="75" t="s">
        <v>544</v>
      </c>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4" t="s">
        <v>390</v>
      </c>
      <c r="B18" s="3"/>
      <c r="C18" s="77">
        <f>'3_Giả định'!$C$7*(1+'3_Giả định'!$C$8)^0</f>
        <v>300</v>
      </c>
      <c r="D18" s="77">
        <f>'3_Giả định'!$C$7*(1+'3_Giả định'!$C$8)^1</f>
        <v>324</v>
      </c>
      <c r="E18" s="77">
        <f>'3_Giả định'!$C$7*(1+'3_Giả định'!$C$8)^2</f>
        <v>349.92</v>
      </c>
      <c r="F18" s="77">
        <f>'3_Giả định'!$C$7*(1+'3_Giả định'!$C$8)^3</f>
        <v>377.9136</v>
      </c>
      <c r="G18" s="77">
        <f>'3_Giả định'!$C$7*(1+'3_Giả định'!$C$8)^4</f>
        <v>408.146688</v>
      </c>
      <c r="H18" s="77">
        <f>'3_Giả định'!$C$7*(1+'3_Giả định'!$C$8)^5</f>
        <v>440.798423</v>
      </c>
      <c r="I18" s="77">
        <f>'3_Giả định'!$C$7*(1+'3_Giả định'!$C$8)^6</f>
        <v>476.0622969</v>
      </c>
      <c r="J18" s="77">
        <f>'3_Giả định'!$C$7*(1+'3_Giả định'!$C$8)^7</f>
        <v>514.1472806</v>
      </c>
      <c r="K18" s="77">
        <f>'3_Giả định'!$C$7*(1+'3_Giả định'!$C$8)^8</f>
        <v>555.2790631</v>
      </c>
      <c r="L18" s="77">
        <f>'3_Giả định'!$C$7*(1+'3_Giả định'!$C$8)^9</f>
        <v>599.7013881</v>
      </c>
      <c r="M18" s="77">
        <f>'3_Giả định'!$C$7*(1+'3_Giả định'!$C$8)^10</f>
        <v>647.6774992</v>
      </c>
      <c r="N18" s="77">
        <f>'3_Giả định'!$C$7*(1+'3_Giả định'!$C$8)^11</f>
        <v>699.4916991</v>
      </c>
      <c r="O18" s="77">
        <f>'3_Giả định'!$C$7*(1+'3_Giả định'!$C$8)^12</f>
        <v>755.451035</v>
      </c>
      <c r="P18" s="77">
        <f>'3_Giả định'!$C$7*(1+'3_Giả định'!$C$8)^13</f>
        <v>815.8871178</v>
      </c>
      <c r="Q18" s="77">
        <f>'3_Giả định'!$C$7*(1+'3_Giả định'!$C$8)^14</f>
        <v>881.1580873</v>
      </c>
      <c r="R18" s="77">
        <f>'3_Giả định'!$C$7*(1+'3_Giả định'!$C$8)^15</f>
        <v>951.6507343</v>
      </c>
      <c r="S18" s="77">
        <f>'3_Giả định'!$C$7*(1+'3_Giả định'!$C$8)^16</f>
        <v>1027.782793</v>
      </c>
      <c r="T18" s="77">
        <f>'3_Giả định'!$C$7*(1+'3_Giả định'!$C$8)^17</f>
        <v>1110.005416</v>
      </c>
      <c r="U18" s="77">
        <f>'3_Giả định'!$C$7*(1+'3_Giả định'!$C$8)^18</f>
        <v>1198.80585</v>
      </c>
      <c r="V18" s="77">
        <f>'3_Giả định'!$C$7*(1+'3_Giả định'!$C$8)^19</f>
        <v>1294.710318</v>
      </c>
      <c r="W18" s="77">
        <f>'3_Giả định'!$C$7*(1+'3_Giả định'!$C$8)^20</f>
        <v>1398.287143</v>
      </c>
      <c r="X18" s="77">
        <f>'3_Giả định'!$C$7*(1+'3_Giả định'!$C$8)^21</f>
        <v>1510.150115</v>
      </c>
      <c r="Y18" s="77">
        <f>'3_Giả định'!$C$7*(1+'3_Giả định'!$C$8)^22</f>
        <v>1630.962124</v>
      </c>
      <c r="Z18" s="77">
        <f>'3_Giả định'!$C$7*(1+'3_Giả định'!$C$8)^23</f>
        <v>1761.439094</v>
      </c>
    </row>
    <row r="19" ht="15.0" customHeight="1">
      <c r="A19" s="34" t="s">
        <v>427</v>
      </c>
      <c r="B19" s="3">
        <v>0.0</v>
      </c>
      <c r="C19" s="77">
        <f>B19*(1-'3_Giả định'!$C$9)+C18</f>
        <v>300</v>
      </c>
      <c r="D19" s="77">
        <f>C19*(1-'3_Giả định'!$C$9)+D18</f>
        <v>579</v>
      </c>
      <c r="E19" s="77">
        <f>D19*(1-'3_Giả định'!$C$9)+E18</f>
        <v>842.07</v>
      </c>
      <c r="F19" s="77">
        <f>E19*(1-'3_Giả định'!$C$9)+F18</f>
        <v>1093.6731</v>
      </c>
      <c r="G19" s="77">
        <f>F19*(1-'3_Giả định'!$C$9)+G18</f>
        <v>1337.768823</v>
      </c>
      <c r="H19" s="77">
        <f>G19*(1-'3_Giả định'!$C$9)+H18</f>
        <v>1577.901923</v>
      </c>
      <c r="I19" s="77">
        <f>H19*(1-'3_Giả định'!$C$9)+I18</f>
        <v>1817.278931</v>
      </c>
      <c r="J19" s="77">
        <f>I19*(1-'3_Giả định'!$C$9)+J18</f>
        <v>2058.834372</v>
      </c>
      <c r="K19" s="77">
        <f>J19*(1-'3_Giả định'!$C$9)+K18</f>
        <v>2305.288279</v>
      </c>
      <c r="L19" s="77">
        <f>K19*(1-'3_Giả định'!$C$9)+L18</f>
        <v>2559.196426</v>
      </c>
      <c r="M19" s="77">
        <f>L19*(1-'3_Giả định'!$C$9)+M18</f>
        <v>2822.994461</v>
      </c>
      <c r="N19" s="77">
        <f>M19*(1-'3_Giả định'!$C$9)+N18</f>
        <v>3099.036991</v>
      </c>
      <c r="O19" s="77">
        <f>N19*(1-'3_Giả định'!$C$9)+O18</f>
        <v>3389.632477</v>
      </c>
      <c r="P19" s="77">
        <f>O19*(1-'3_Giả định'!$C$9)+P18</f>
        <v>3697.074724</v>
      </c>
      <c r="Q19" s="77">
        <f>P19*(1-'3_Giả định'!$C$9)+Q18</f>
        <v>4023.671602</v>
      </c>
      <c r="R19" s="77">
        <f>Q19*(1-'3_Giả định'!$C$9)+R18</f>
        <v>4371.771596</v>
      </c>
      <c r="S19" s="77">
        <f>R19*(1-'3_Giả định'!$C$9)+S18</f>
        <v>4743.78865</v>
      </c>
      <c r="T19" s="77">
        <f>S19*(1-'3_Giả định'!$C$9)+T18</f>
        <v>5142.225769</v>
      </c>
      <c r="U19" s="77">
        <f>T19*(1-'3_Giả định'!$C$9)+U18</f>
        <v>5569.697753</v>
      </c>
      <c r="V19" s="77">
        <f>U19*(1-'3_Giả định'!$C$9)+V18</f>
        <v>6028.953408</v>
      </c>
      <c r="W19" s="77">
        <f>V19*(1-'3_Giả định'!$C$9)+W18</f>
        <v>6522.89754</v>
      </c>
      <c r="X19" s="77">
        <f>W19*(1-'3_Giả định'!$C$9)+X18</f>
        <v>7054.613024</v>
      </c>
      <c r="Y19" s="77">
        <f>X19*(1-'3_Giả định'!$C$9)+Y18</f>
        <v>7627.383194</v>
      </c>
      <c r="Z19" s="77">
        <f>Y19*(1-'3_Giả định'!$C$9)+Z18</f>
        <v>8244.714808</v>
      </c>
    </row>
    <row r="20" ht="15.0" customHeight="1">
      <c r="A20" s="34" t="s">
        <v>132</v>
      </c>
      <c r="B20" s="3"/>
      <c r="C20" s="86">
        <f>C19*'3_Giả định'!$C$17</f>
        <v>41850000</v>
      </c>
      <c r="D20" s="86">
        <f>D19*'3_Giả định'!$C$17</f>
        <v>80770500</v>
      </c>
      <c r="E20" s="86">
        <f>E19*'3_Giả định'!$C$17</f>
        <v>117468765</v>
      </c>
      <c r="F20" s="86">
        <f>F19*'3_Giả định'!$C$17</f>
        <v>152567397.5</v>
      </c>
      <c r="G20" s="86">
        <f>G19*'3_Giả định'!$C$17</f>
        <v>186618750.8</v>
      </c>
      <c r="H20" s="86">
        <f>H19*'3_Giả định'!$C$17</f>
        <v>220117318.2</v>
      </c>
      <c r="I20" s="86">
        <f>I19*'3_Giả định'!$C$17</f>
        <v>253510410.9</v>
      </c>
      <c r="J20" s="86">
        <f>J19*'3_Giả định'!$C$17</f>
        <v>287207394.9</v>
      </c>
      <c r="K20" s="86">
        <f>K19*'3_Giả định'!$C$17</f>
        <v>321587715</v>
      </c>
      <c r="L20" s="86">
        <f>L19*'3_Giả định'!$C$17</f>
        <v>357007901.4</v>
      </c>
      <c r="M20" s="86">
        <f>M19*'3_Giả định'!$C$17</f>
        <v>393807727.3</v>
      </c>
      <c r="N20" s="86">
        <f>N19*'3_Giả định'!$C$17</f>
        <v>432315660.2</v>
      </c>
      <c r="O20" s="86">
        <f>O19*'3_Giả định'!$C$17</f>
        <v>472853730.6</v>
      </c>
      <c r="P20" s="86">
        <f>P19*'3_Giả định'!$C$17</f>
        <v>515741923.9</v>
      </c>
      <c r="Q20" s="86">
        <f>Q19*'3_Giả định'!$C$17</f>
        <v>561302188.5</v>
      </c>
      <c r="R20" s="86">
        <f>R19*'3_Giả định'!$C$17</f>
        <v>609862137.7</v>
      </c>
      <c r="S20" s="86">
        <f>S19*'3_Giả định'!$C$17</f>
        <v>661758516.6</v>
      </c>
      <c r="T20" s="86">
        <f>T19*'3_Giả định'!$C$17</f>
        <v>717340494.7</v>
      </c>
      <c r="U20" s="86">
        <f>U19*'3_Giả định'!$C$17</f>
        <v>776972836.6</v>
      </c>
      <c r="V20" s="86">
        <f>V19*'3_Giả định'!$C$17</f>
        <v>841039000.4</v>
      </c>
      <c r="W20" s="86">
        <f>W19*'3_Giả định'!$C$17</f>
        <v>909944206.8</v>
      </c>
      <c r="X20" s="86">
        <f>X19*'3_Giả định'!$C$17</f>
        <v>984118516.8</v>
      </c>
      <c r="Y20" s="86">
        <f>Y19*'3_Giả định'!$C$17</f>
        <v>1064019956</v>
      </c>
      <c r="Z20" s="86">
        <f>Z19*'3_Giả định'!$C$17</f>
        <v>1150137716</v>
      </c>
    </row>
    <row r="21" ht="15.0" customHeight="1">
      <c r="A21" s="34" t="s">
        <v>448</v>
      </c>
      <c r="B21" s="3"/>
      <c r="C21" s="86">
        <f>C19*'3_Giả định'!$C$18</f>
        <v>4409897.952</v>
      </c>
      <c r="D21" s="86">
        <f>D19*'3_Giả định'!$C$18</f>
        <v>8511103.047</v>
      </c>
      <c r="E21" s="86">
        <f>E19*'3_Giả định'!$C$18</f>
        <v>12378142.56</v>
      </c>
      <c r="F21" s="86">
        <f>F19*'3_Giả định'!$C$18</f>
        <v>16076622.55</v>
      </c>
      <c r="G21" s="86">
        <f>G19*'3_Giả định'!$C$18</f>
        <v>19664746.64</v>
      </c>
      <c r="H21" s="86">
        <f>H19*'3_Giả định'!$C$18</f>
        <v>23194621.52</v>
      </c>
      <c r="I21" s="86">
        <f>I19*'3_Giả định'!$C$18</f>
        <v>26713382.12</v>
      </c>
      <c r="J21" s="86">
        <f>J19*'3_Giả định'!$C$18</f>
        <v>30264164.94</v>
      </c>
      <c r="K21" s="86">
        <f>K19*'3_Giả định'!$C$18</f>
        <v>33886953.54</v>
      </c>
      <c r="L21" s="86">
        <f>L19*'3_Giả định'!$C$18</f>
        <v>37619316.92</v>
      </c>
      <c r="M21" s="86">
        <f>M19*'3_Giả định'!$C$18</f>
        <v>41497058.31</v>
      </c>
      <c r="N21" s="86">
        <f>N19*'3_Giả định'!$C$18</f>
        <v>45554789.6</v>
      </c>
      <c r="O21" s="86">
        <f>O19*'3_Giả định'!$C$18</f>
        <v>49826444.4</v>
      </c>
      <c r="P21" s="86">
        <f>P19*'3_Giả định'!$C$18</f>
        <v>54345740.84</v>
      </c>
      <c r="Q21" s="86">
        <f>Q19*'3_Giả định'!$C$18</f>
        <v>59146603.86</v>
      </c>
      <c r="R21" s="86">
        <f>R19*'3_Giả định'!$C$18</f>
        <v>64263555.36</v>
      </c>
      <c r="S21" s="86">
        <f>S19*'3_Giả định'!$C$18</f>
        <v>69732079.5</v>
      </c>
      <c r="T21" s="86">
        <f>T19*'3_Giả định'!$C$18</f>
        <v>75588969.62</v>
      </c>
      <c r="U21" s="86">
        <f>U19*'3_Giả định'!$C$18</f>
        <v>81872662.38</v>
      </c>
      <c r="V21" s="86">
        <f>V19*'3_Giả định'!$C$18</f>
        <v>88623564.29</v>
      </c>
      <c r="W21" s="86">
        <f>W19*'3_Giả định'!$C$18</f>
        <v>95884375.01</v>
      </c>
      <c r="X21" s="86">
        <f>X19*'3_Giả định'!$C$18</f>
        <v>103700411.7</v>
      </c>
      <c r="Y21" s="86">
        <f>Y19*'3_Giả định'!$C$18</f>
        <v>112119938.4</v>
      </c>
      <c r="Z21" s="86">
        <f>Z19*'3_Giả định'!$C$18</f>
        <v>121194503.2</v>
      </c>
    </row>
    <row r="22" ht="15.0" customHeight="1">
      <c r="A22" s="34" t="s">
        <v>150</v>
      </c>
      <c r="B22" s="3"/>
      <c r="C22" s="86">
        <f t="shared" ref="C22:Z22" si="5">C20-C21</f>
        <v>37440102.05</v>
      </c>
      <c r="D22" s="86">
        <f t="shared" si="5"/>
        <v>72259396.95</v>
      </c>
      <c r="E22" s="86">
        <f t="shared" si="5"/>
        <v>105090622.4</v>
      </c>
      <c r="F22" s="86">
        <f t="shared" si="5"/>
        <v>136490774.9</v>
      </c>
      <c r="G22" s="86">
        <f t="shared" si="5"/>
        <v>166954004.2</v>
      </c>
      <c r="H22" s="86">
        <f t="shared" si="5"/>
        <v>196922696.7</v>
      </c>
      <c r="I22" s="86">
        <f t="shared" si="5"/>
        <v>226797028.8</v>
      </c>
      <c r="J22" s="86">
        <f t="shared" si="5"/>
        <v>256943230</v>
      </c>
      <c r="K22" s="86">
        <f t="shared" si="5"/>
        <v>287700761.4</v>
      </c>
      <c r="L22" s="86">
        <f t="shared" si="5"/>
        <v>319388584.4</v>
      </c>
      <c r="M22" s="86">
        <f t="shared" si="5"/>
        <v>352310669</v>
      </c>
      <c r="N22" s="86">
        <f t="shared" si="5"/>
        <v>386760870.6</v>
      </c>
      <c r="O22" s="86">
        <f t="shared" si="5"/>
        <v>423027286.2</v>
      </c>
      <c r="P22" s="86">
        <f t="shared" si="5"/>
        <v>461396183.1</v>
      </c>
      <c r="Q22" s="86">
        <f t="shared" si="5"/>
        <v>502155584.7</v>
      </c>
      <c r="R22" s="86">
        <f t="shared" si="5"/>
        <v>545598582.3</v>
      </c>
      <c r="S22" s="86">
        <f t="shared" si="5"/>
        <v>592026437.1</v>
      </c>
      <c r="T22" s="86">
        <f t="shared" si="5"/>
        <v>641751525.1</v>
      </c>
      <c r="U22" s="86">
        <f t="shared" si="5"/>
        <v>695100174.2</v>
      </c>
      <c r="V22" s="86">
        <f t="shared" si="5"/>
        <v>752415436.1</v>
      </c>
      <c r="W22" s="86">
        <f t="shared" si="5"/>
        <v>814059831.8</v>
      </c>
      <c r="X22" s="86">
        <f t="shared" si="5"/>
        <v>880418105</v>
      </c>
      <c r="Y22" s="86">
        <f t="shared" si="5"/>
        <v>951900017.1</v>
      </c>
      <c r="Z22" s="86">
        <f t="shared" si="5"/>
        <v>1028943213</v>
      </c>
    </row>
    <row r="23" ht="15.0" customHeight="1">
      <c r="A23" s="34" t="s">
        <v>490</v>
      </c>
      <c r="B23" s="3"/>
      <c r="C23" s="86">
        <f>C18*'3_Giả định'!$C$10</f>
        <v>210000000</v>
      </c>
      <c r="D23" s="86">
        <f>D18*'3_Giả định'!$C$10</f>
        <v>226800000</v>
      </c>
      <c r="E23" s="86">
        <f>E18*'3_Giả định'!$C$10</f>
        <v>244944000</v>
      </c>
      <c r="F23" s="86">
        <f>F18*'3_Giả định'!$C$10</f>
        <v>264539520</v>
      </c>
      <c r="G23" s="86">
        <f>G18*'3_Giả định'!$C$10</f>
        <v>285702681.6</v>
      </c>
      <c r="H23" s="86">
        <f>H18*'3_Giả định'!$C$10</f>
        <v>308558896.1</v>
      </c>
      <c r="I23" s="86">
        <f>I18*'3_Giả định'!$C$10</f>
        <v>333243607.8</v>
      </c>
      <c r="J23" s="86">
        <f>J18*'3_Giả định'!$C$10</f>
        <v>359903096.4</v>
      </c>
      <c r="K23" s="86">
        <f>K18*'3_Giả định'!$C$10</f>
        <v>388695344.2</v>
      </c>
      <c r="L23" s="86">
        <f>L18*'3_Giả định'!$C$10</f>
        <v>419790971.7</v>
      </c>
      <c r="M23" s="86">
        <f>M18*'3_Giả định'!$C$10</f>
        <v>453374249.4</v>
      </c>
      <c r="N23" s="86">
        <f>N18*'3_Giả định'!$C$10</f>
        <v>489644189.4</v>
      </c>
      <c r="O23" s="86">
        <f>O18*'3_Giả định'!$C$10</f>
        <v>528815724.5</v>
      </c>
      <c r="P23" s="86">
        <f>P18*'3_Giả định'!$C$10</f>
        <v>571120982.5</v>
      </c>
      <c r="Q23" s="86">
        <f>Q18*'3_Giả định'!$C$10</f>
        <v>616810661.1</v>
      </c>
      <c r="R23" s="86">
        <f>R18*'3_Giả định'!$C$10</f>
        <v>666155514</v>
      </c>
      <c r="S23" s="86">
        <f>S18*'3_Giả định'!$C$10</f>
        <v>719447955.1</v>
      </c>
      <c r="T23" s="86">
        <f>T18*'3_Giả định'!$C$10</f>
        <v>777003791.5</v>
      </c>
      <c r="U23" s="86">
        <f>U18*'3_Giả định'!$C$10</f>
        <v>839164094.8</v>
      </c>
      <c r="V23" s="86">
        <f>V18*'3_Giả định'!$C$10</f>
        <v>906297222.4</v>
      </c>
      <c r="W23" s="86">
        <f>W18*'3_Giả định'!$C$10</f>
        <v>978801000.2</v>
      </c>
      <c r="X23" s="86">
        <f>X18*'3_Giả định'!$C$10</f>
        <v>1057105080</v>
      </c>
      <c r="Y23" s="86">
        <f>Y18*'3_Giả định'!$C$10</f>
        <v>1141673487</v>
      </c>
      <c r="Z23" s="86">
        <f>Z18*'3_Giả định'!$C$10</f>
        <v>1233007366</v>
      </c>
    </row>
    <row r="24" ht="15.0" customHeight="1">
      <c r="A24" s="34" t="s">
        <v>495</v>
      </c>
      <c r="B24" s="3"/>
      <c r="C24" s="86">
        <f>'3_Giả định'!$C$11</f>
        <v>120000000</v>
      </c>
      <c r="D24" s="86">
        <f>'3_Giả định'!$C$11</f>
        <v>120000000</v>
      </c>
      <c r="E24" s="86">
        <f>'3_Giả định'!$C$11</f>
        <v>120000000</v>
      </c>
      <c r="F24" s="86">
        <f>'3_Giả định'!$C$11</f>
        <v>120000000</v>
      </c>
      <c r="G24" s="86">
        <f>'3_Giả định'!$C$11</f>
        <v>120000000</v>
      </c>
      <c r="H24" s="86">
        <f>'3_Giả định'!$C$11</f>
        <v>120000000</v>
      </c>
      <c r="I24" s="86">
        <f>'3_Giả định'!$C$11</f>
        <v>120000000</v>
      </c>
      <c r="J24" s="86">
        <f>'3_Giả định'!$C$11</f>
        <v>120000000</v>
      </c>
      <c r="K24" s="86">
        <f>'3_Giả định'!$C$11</f>
        <v>120000000</v>
      </c>
      <c r="L24" s="86">
        <f>'3_Giả định'!$C$11</f>
        <v>120000000</v>
      </c>
      <c r="M24" s="86">
        <f>'3_Giả định'!$C$11</f>
        <v>120000000</v>
      </c>
      <c r="N24" s="86">
        <f>'3_Giả định'!$C$11</f>
        <v>120000000</v>
      </c>
      <c r="O24" s="86">
        <f>'3_Giả định'!$C$11</f>
        <v>120000000</v>
      </c>
      <c r="P24" s="86">
        <f>'3_Giả định'!$C$11</f>
        <v>120000000</v>
      </c>
      <c r="Q24" s="86">
        <f>'3_Giả định'!$C$11</f>
        <v>120000000</v>
      </c>
      <c r="R24" s="86">
        <f>'3_Giả định'!$C$11</f>
        <v>120000000</v>
      </c>
      <c r="S24" s="86">
        <f>'3_Giả định'!$C$11</f>
        <v>120000000</v>
      </c>
      <c r="T24" s="86">
        <f>'3_Giả định'!$C$11</f>
        <v>120000000</v>
      </c>
      <c r="U24" s="86">
        <f>'3_Giả định'!$C$11</f>
        <v>120000000</v>
      </c>
      <c r="V24" s="86">
        <f>'3_Giả định'!$C$11</f>
        <v>120000000</v>
      </c>
      <c r="W24" s="86">
        <f>'3_Giả định'!$C$11</f>
        <v>120000000</v>
      </c>
      <c r="X24" s="86">
        <f>'3_Giả định'!$C$11</f>
        <v>120000000</v>
      </c>
      <c r="Y24" s="86">
        <f>'3_Giả định'!$C$11</f>
        <v>120000000</v>
      </c>
      <c r="Z24" s="86">
        <f>'3_Giả định'!$C$11</f>
        <v>120000000</v>
      </c>
    </row>
    <row r="25" ht="15.0" customHeight="1">
      <c r="A25" s="34" t="s">
        <v>541</v>
      </c>
      <c r="B25" s="86">
        <f>-'3_Giả định'!$C$12</f>
        <v>-400000000</v>
      </c>
      <c r="C25" s="86">
        <f t="shared" ref="C25:Z25" si="6">C22-C23-C24</f>
        <v>-292559898</v>
      </c>
      <c r="D25" s="86">
        <f t="shared" si="6"/>
        <v>-274540603</v>
      </c>
      <c r="E25" s="86">
        <f t="shared" si="6"/>
        <v>-259853377.6</v>
      </c>
      <c r="F25" s="86">
        <f t="shared" si="6"/>
        <v>-248048745.1</v>
      </c>
      <c r="G25" s="86">
        <f t="shared" si="6"/>
        <v>-238748677.4</v>
      </c>
      <c r="H25" s="86">
        <f t="shared" si="6"/>
        <v>-231636199.4</v>
      </c>
      <c r="I25" s="86">
        <f t="shared" si="6"/>
        <v>-226446579.1</v>
      </c>
      <c r="J25" s="86">
        <f t="shared" si="6"/>
        <v>-222959866.5</v>
      </c>
      <c r="K25" s="86">
        <f t="shared" si="6"/>
        <v>-220994582.7</v>
      </c>
      <c r="L25" s="86">
        <f t="shared" si="6"/>
        <v>-220402387.2</v>
      </c>
      <c r="M25" s="86">
        <f t="shared" si="6"/>
        <v>-221063580.4</v>
      </c>
      <c r="N25" s="86">
        <f t="shared" si="6"/>
        <v>-222883318.7</v>
      </c>
      <c r="O25" s="86">
        <f t="shared" si="6"/>
        <v>-225788438.3</v>
      </c>
      <c r="P25" s="86">
        <f t="shared" si="6"/>
        <v>-229724799.4</v>
      </c>
      <c r="Q25" s="86">
        <f t="shared" si="6"/>
        <v>-234655076.4</v>
      </c>
      <c r="R25" s="86">
        <f t="shared" si="6"/>
        <v>-240556931.7</v>
      </c>
      <c r="S25" s="86">
        <f t="shared" si="6"/>
        <v>-247421518</v>
      </c>
      <c r="T25" s="86">
        <f t="shared" si="6"/>
        <v>-255252266.4</v>
      </c>
      <c r="U25" s="86">
        <f t="shared" si="6"/>
        <v>-264063920.6</v>
      </c>
      <c r="V25" s="86">
        <f t="shared" si="6"/>
        <v>-273881786.3</v>
      </c>
      <c r="W25" s="86">
        <f t="shared" si="6"/>
        <v>-284741168.4</v>
      </c>
      <c r="X25" s="86">
        <f t="shared" si="6"/>
        <v>-296686975.2</v>
      </c>
      <c r="Y25" s="86">
        <f t="shared" si="6"/>
        <v>-309773469.5</v>
      </c>
      <c r="Z25" s="86">
        <f t="shared" si="6"/>
        <v>-324064153</v>
      </c>
    </row>
    <row r="26" ht="15.0" customHeight="1">
      <c r="A26" s="34" t="s">
        <v>542</v>
      </c>
      <c r="B26" s="86">
        <f>'3_Giả định'!$C$13+B25</f>
        <v>1100000000</v>
      </c>
      <c r="C26" s="86">
        <f t="shared" ref="C26:Z26" si="7">B26+C25</f>
        <v>807440102</v>
      </c>
      <c r="D26" s="86">
        <f t="shared" si="7"/>
        <v>532899499</v>
      </c>
      <c r="E26" s="86">
        <f t="shared" si="7"/>
        <v>273046121.4</v>
      </c>
      <c r="F26" s="86">
        <f t="shared" si="7"/>
        <v>24997376.34</v>
      </c>
      <c r="G26" s="86">
        <f t="shared" si="7"/>
        <v>-213751301.1</v>
      </c>
      <c r="H26" s="86">
        <f t="shared" si="7"/>
        <v>-445387500.5</v>
      </c>
      <c r="I26" s="86">
        <f t="shared" si="7"/>
        <v>-671834079.6</v>
      </c>
      <c r="J26" s="86">
        <f t="shared" si="7"/>
        <v>-894793946.1</v>
      </c>
      <c r="K26" s="86">
        <f t="shared" si="7"/>
        <v>-1115788529</v>
      </c>
      <c r="L26" s="86">
        <f t="shared" si="7"/>
        <v>-1336190916</v>
      </c>
      <c r="M26" s="86">
        <f t="shared" si="7"/>
        <v>-1557254496</v>
      </c>
      <c r="N26" s="86">
        <f t="shared" si="7"/>
        <v>-1780137815</v>
      </c>
      <c r="O26" s="86">
        <f t="shared" si="7"/>
        <v>-2005926254</v>
      </c>
      <c r="P26" s="86">
        <f t="shared" si="7"/>
        <v>-2235651053</v>
      </c>
      <c r="Q26" s="86">
        <f t="shared" si="7"/>
        <v>-2470306129</v>
      </c>
      <c r="R26" s="86">
        <f t="shared" si="7"/>
        <v>-2710863061</v>
      </c>
      <c r="S26" s="86">
        <f t="shared" si="7"/>
        <v>-2958284579</v>
      </c>
      <c r="T26" s="86">
        <f t="shared" si="7"/>
        <v>-3213536845</v>
      </c>
      <c r="U26" s="86">
        <f t="shared" si="7"/>
        <v>-3477600766</v>
      </c>
      <c r="V26" s="86">
        <f t="shared" si="7"/>
        <v>-3751482552</v>
      </c>
      <c r="W26" s="86">
        <f t="shared" si="7"/>
        <v>-4036223721</v>
      </c>
      <c r="X26" s="86">
        <f t="shared" si="7"/>
        <v>-4332910696</v>
      </c>
      <c r="Y26" s="86">
        <f t="shared" si="7"/>
        <v>-4642684165</v>
      </c>
      <c r="Z26" s="86">
        <f t="shared" si="7"/>
        <v>-4966748318</v>
      </c>
    </row>
    <row r="27" ht="15.0" customHeight="1">
      <c r="A27" s="34" t="s">
        <v>543</v>
      </c>
      <c r="B27" s="86">
        <f>B25</f>
        <v>-400000000</v>
      </c>
      <c r="C27" s="86">
        <f t="shared" ref="C27:Z27" si="8">B27+C25</f>
        <v>-692559898</v>
      </c>
      <c r="D27" s="86">
        <f t="shared" si="8"/>
        <v>-967100501</v>
      </c>
      <c r="E27" s="86">
        <f t="shared" si="8"/>
        <v>-1226953879</v>
      </c>
      <c r="F27" s="86">
        <f t="shared" si="8"/>
        <v>-1475002624</v>
      </c>
      <c r="G27" s="86">
        <f t="shared" si="8"/>
        <v>-1713751301</v>
      </c>
      <c r="H27" s="86">
        <f t="shared" si="8"/>
        <v>-1945387501</v>
      </c>
      <c r="I27" s="86">
        <f t="shared" si="8"/>
        <v>-2171834080</v>
      </c>
      <c r="J27" s="86">
        <f t="shared" si="8"/>
        <v>-2394793946</v>
      </c>
      <c r="K27" s="86">
        <f t="shared" si="8"/>
        <v>-2615788529</v>
      </c>
      <c r="L27" s="86">
        <f t="shared" si="8"/>
        <v>-2836190916</v>
      </c>
      <c r="M27" s="86">
        <f t="shared" si="8"/>
        <v>-3057254496</v>
      </c>
      <c r="N27" s="86">
        <f t="shared" si="8"/>
        <v>-3280137815</v>
      </c>
      <c r="O27" s="86">
        <f t="shared" si="8"/>
        <v>-3505926254</v>
      </c>
      <c r="P27" s="86">
        <f t="shared" si="8"/>
        <v>-3735651053</v>
      </c>
      <c r="Q27" s="86">
        <f t="shared" si="8"/>
        <v>-3970306129</v>
      </c>
      <c r="R27" s="86">
        <f t="shared" si="8"/>
        <v>-4210863061</v>
      </c>
      <c r="S27" s="86">
        <f t="shared" si="8"/>
        <v>-4458284579</v>
      </c>
      <c r="T27" s="86">
        <f t="shared" si="8"/>
        <v>-4713536845</v>
      </c>
      <c r="U27" s="86">
        <f t="shared" si="8"/>
        <v>-4977600766</v>
      </c>
      <c r="V27" s="86">
        <f t="shared" si="8"/>
        <v>-5251482552</v>
      </c>
      <c r="W27" s="86">
        <f t="shared" si="8"/>
        <v>-5536223721</v>
      </c>
      <c r="X27" s="86">
        <f t="shared" si="8"/>
        <v>-5832910696</v>
      </c>
      <c r="Y27" s="86">
        <f t="shared" si="8"/>
        <v>-6142684165</v>
      </c>
      <c r="Z27" s="86">
        <f t="shared" si="8"/>
        <v>-6466748318</v>
      </c>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0" customHeight="1">
      <c r="A29" s="75" t="s">
        <v>545</v>
      </c>
      <c r="B29" s="3"/>
      <c r="C29" s="3"/>
      <c r="D29" s="3"/>
      <c r="E29" s="3"/>
      <c r="F29" s="3"/>
      <c r="G29" s="3"/>
      <c r="H29" s="3"/>
      <c r="I29" s="3"/>
      <c r="J29" s="3"/>
      <c r="K29" s="3"/>
      <c r="L29" s="3"/>
      <c r="M29" s="3"/>
      <c r="N29" s="3"/>
      <c r="O29" s="3"/>
      <c r="P29" s="3"/>
      <c r="Q29" s="3"/>
      <c r="R29" s="3"/>
      <c r="S29" s="3"/>
      <c r="T29" s="3"/>
      <c r="U29" s="3"/>
      <c r="V29" s="3"/>
      <c r="W29" s="3"/>
      <c r="X29" s="3"/>
      <c r="Y29" s="3"/>
      <c r="Z29" s="3"/>
    </row>
    <row r="30" ht="15.0" customHeight="1">
      <c r="A30" s="34" t="s">
        <v>390</v>
      </c>
      <c r="B30" s="3"/>
      <c r="C30" s="77">
        <f>'3_Giả định'!$D$7*(1+'3_Giả định'!$D$8)^0</f>
        <v>150</v>
      </c>
      <c r="D30" s="77">
        <f>'3_Giả định'!$D$7*(1+'3_Giả định'!$D$8)^1</f>
        <v>154.8</v>
      </c>
      <c r="E30" s="77">
        <f>'3_Giả định'!$D$7*(1+'3_Giả định'!$D$8)^2</f>
        <v>159.7536</v>
      </c>
      <c r="F30" s="77">
        <f>'3_Giả định'!$D$7*(1+'3_Giả định'!$D$8)^3</f>
        <v>164.8657152</v>
      </c>
      <c r="G30" s="77">
        <f>'3_Giả định'!$D$7*(1+'3_Giả định'!$D$8)^4</f>
        <v>170.1414181</v>
      </c>
      <c r="H30" s="77">
        <f>'3_Giả định'!$D$7*(1+'3_Giả định'!$D$8)^5</f>
        <v>175.5859435</v>
      </c>
      <c r="I30" s="77">
        <f>'3_Giả định'!$D$7*(1+'3_Giả định'!$D$8)^6</f>
        <v>181.2046937</v>
      </c>
      <c r="J30" s="77">
        <f>'3_Giả định'!$D$7*(1+'3_Giả định'!$D$8)^7</f>
        <v>187.0032439</v>
      </c>
      <c r="K30" s="77">
        <f>'3_Giả định'!$D$7*(1+'3_Giả định'!$D$8)^8</f>
        <v>192.9873477</v>
      </c>
      <c r="L30" s="77">
        <f>'3_Giả định'!$D$7*(1+'3_Giả định'!$D$8)^9</f>
        <v>199.1629428</v>
      </c>
      <c r="M30" s="77">
        <f>'3_Giả định'!$D$7*(1+'3_Giả định'!$D$8)^10</f>
        <v>205.536157</v>
      </c>
      <c r="N30" s="77">
        <f>'3_Giả định'!$D$7*(1+'3_Giả định'!$D$8)^11</f>
        <v>212.113314</v>
      </c>
      <c r="O30" s="77">
        <f>'3_Giả định'!$D$7*(1+'3_Giả định'!$D$8)^12</f>
        <v>218.90094</v>
      </c>
      <c r="P30" s="77">
        <f>'3_Giả định'!$D$7*(1+'3_Giả định'!$D$8)^13</f>
        <v>225.9057701</v>
      </c>
      <c r="Q30" s="77">
        <f>'3_Giả định'!$D$7*(1+'3_Giả định'!$D$8)^14</f>
        <v>233.1347547</v>
      </c>
      <c r="R30" s="77">
        <f>'3_Giả định'!$D$7*(1+'3_Giả định'!$D$8)^15</f>
        <v>240.5950669</v>
      </c>
      <c r="S30" s="77">
        <f>'3_Giả định'!$D$7*(1+'3_Giả định'!$D$8)^16</f>
        <v>248.294109</v>
      </c>
      <c r="T30" s="77">
        <f>'3_Giả định'!$D$7*(1+'3_Giả định'!$D$8)^17</f>
        <v>256.2395205</v>
      </c>
      <c r="U30" s="77">
        <f>'3_Giả định'!$D$7*(1+'3_Giả định'!$D$8)^18</f>
        <v>264.4391852</v>
      </c>
      <c r="V30" s="77">
        <f>'3_Giả định'!$D$7*(1+'3_Giả định'!$D$8)^19</f>
        <v>272.9012391</v>
      </c>
      <c r="W30" s="77">
        <f>'3_Giả định'!$D$7*(1+'3_Giả định'!$D$8)^20</f>
        <v>281.6340788</v>
      </c>
      <c r="X30" s="77">
        <f>'3_Giả định'!$D$7*(1+'3_Giả định'!$D$8)^21</f>
        <v>290.6463693</v>
      </c>
      <c r="Y30" s="77">
        <f>'3_Giả định'!$D$7*(1+'3_Giả định'!$D$8)^22</f>
        <v>299.9470531</v>
      </c>
      <c r="Z30" s="77">
        <f>'3_Giả định'!$D$7*(1+'3_Giả định'!$D$8)^23</f>
        <v>309.5453588</v>
      </c>
    </row>
    <row r="31" ht="15.0" customHeight="1">
      <c r="A31" s="34" t="s">
        <v>427</v>
      </c>
      <c r="B31" s="3">
        <v>0.0</v>
      </c>
      <c r="C31" s="77">
        <f>B31*(1-'3_Giả định'!$D$9)+C30</f>
        <v>150</v>
      </c>
      <c r="D31" s="77">
        <f>C31*(1-'3_Giả định'!$D$9)+D30</f>
        <v>268.8</v>
      </c>
      <c r="E31" s="77">
        <f>D31*(1-'3_Giả định'!$D$9)+E30</f>
        <v>364.0416</v>
      </c>
      <c r="F31" s="77">
        <f>E31*(1-'3_Giả định'!$D$9)+F30</f>
        <v>441.5373312</v>
      </c>
      <c r="G31" s="77">
        <f>F31*(1-'3_Giả định'!$D$9)+G30</f>
        <v>505.7097898</v>
      </c>
      <c r="H31" s="77">
        <f>G31*(1-'3_Giả định'!$D$9)+H30</f>
        <v>559.9253837</v>
      </c>
      <c r="I31" s="77">
        <f>H31*(1-'3_Giả định'!$D$9)+I30</f>
        <v>606.7479853</v>
      </c>
      <c r="J31" s="77">
        <f>I31*(1-'3_Giả định'!$D$9)+J30</f>
        <v>648.1317127</v>
      </c>
      <c r="K31" s="77">
        <f>J31*(1-'3_Giả định'!$D$9)+K30</f>
        <v>685.5674493</v>
      </c>
      <c r="L31" s="77">
        <f>K31*(1-'3_Giả định'!$D$9)+L30</f>
        <v>720.1942042</v>
      </c>
      <c r="M31" s="77">
        <f>L31*(1-'3_Giả định'!$D$9)+M30</f>
        <v>752.8837522</v>
      </c>
      <c r="N31" s="77">
        <f>M31*(1-'3_Giả định'!$D$9)+N30</f>
        <v>784.3049656</v>
      </c>
      <c r="O31" s="77">
        <f>N31*(1-'3_Giả định'!$D$9)+O30</f>
        <v>814.9727139</v>
      </c>
      <c r="P31" s="77">
        <f>O31*(1-'3_Giả định'!$D$9)+P30</f>
        <v>845.2850327</v>
      </c>
      <c r="Q31" s="77">
        <f>P31*(1-'3_Giả định'!$D$9)+Q30</f>
        <v>875.5513796</v>
      </c>
      <c r="R31" s="77">
        <f>Q31*(1-'3_Giả định'!$D$9)+R30</f>
        <v>906.0141154</v>
      </c>
      <c r="S31" s="77">
        <f>R31*(1-'3_Giả định'!$D$9)+S30</f>
        <v>936.8648367</v>
      </c>
      <c r="T31" s="77">
        <f>S31*(1-'3_Giả định'!$D$9)+T30</f>
        <v>968.2567964</v>
      </c>
      <c r="U31" s="77">
        <f>T31*(1-'3_Giả định'!$D$9)+U30</f>
        <v>1000.31435</v>
      </c>
      <c r="V31" s="77">
        <f>U31*(1-'3_Giả định'!$D$9)+V30</f>
        <v>1033.140145</v>
      </c>
      <c r="W31" s="77">
        <f>V31*(1-'3_Giả định'!$D$9)+W30</f>
        <v>1066.820589</v>
      </c>
      <c r="X31" s="77">
        <f>W31*(1-'3_Giả định'!$D$9)+X30</f>
        <v>1101.430017</v>
      </c>
      <c r="Y31" s="77">
        <f>X31*(1-'3_Giả định'!$D$9)+Y30</f>
        <v>1137.033866</v>
      </c>
      <c r="Z31" s="77">
        <f>Y31*(1-'3_Giả định'!$D$9)+Z30</f>
        <v>1173.691097</v>
      </c>
    </row>
    <row r="32" ht="15.0" customHeight="1">
      <c r="A32" s="34" t="s">
        <v>132</v>
      </c>
      <c r="B32" s="3"/>
      <c r="C32" s="86">
        <f>C31*'3_Giả định'!$D$17</f>
        <v>16740000</v>
      </c>
      <c r="D32" s="86">
        <f>D31*'3_Giả định'!$D$17</f>
        <v>29998080</v>
      </c>
      <c r="E32" s="86">
        <f>E31*'3_Giả định'!$D$17</f>
        <v>40627042.56</v>
      </c>
      <c r="F32" s="86">
        <f>F31*'3_Giả định'!$D$17</f>
        <v>49275566.16</v>
      </c>
      <c r="G32" s="86">
        <f>G31*'3_Giả định'!$D$17</f>
        <v>56437212.54</v>
      </c>
      <c r="H32" s="86">
        <f>H31*'3_Giả định'!$D$17</f>
        <v>62487672.82</v>
      </c>
      <c r="I32" s="86">
        <f>I31*'3_Giả định'!$D$17</f>
        <v>67713075.16</v>
      </c>
      <c r="J32" s="86">
        <f>J31*'3_Giả định'!$D$17</f>
        <v>72331499.13</v>
      </c>
      <c r="K32" s="86">
        <f>K31*'3_Giả định'!$D$17</f>
        <v>76509327.34</v>
      </c>
      <c r="L32" s="86">
        <f>L31*'3_Giả định'!$D$17</f>
        <v>80373673.19</v>
      </c>
      <c r="M32" s="86">
        <f>M31*'3_Giả định'!$D$17</f>
        <v>84021826.74</v>
      </c>
      <c r="N32" s="86">
        <f>N31*'3_Giả định'!$D$17</f>
        <v>87528434.16</v>
      </c>
      <c r="O32" s="86">
        <f>O31*'3_Giả định'!$D$17</f>
        <v>90950954.87</v>
      </c>
      <c r="P32" s="86">
        <f>P31*'3_Giả định'!$D$17</f>
        <v>94333809.64</v>
      </c>
      <c r="Q32" s="86">
        <f>Q31*'3_Giả định'!$D$17</f>
        <v>97711533.96</v>
      </c>
      <c r="R32" s="86">
        <f>R31*'3_Giả định'!$D$17</f>
        <v>101111175.3</v>
      </c>
      <c r="S32" s="86">
        <f>S31*'3_Giả định'!$D$17</f>
        <v>104554115.8</v>
      </c>
      <c r="T32" s="86">
        <f>T31*'3_Giả định'!$D$17</f>
        <v>108057458.5</v>
      </c>
      <c r="U32" s="86">
        <f>U31*'3_Giả định'!$D$17</f>
        <v>111635081.5</v>
      </c>
      <c r="V32" s="86">
        <f>V31*'3_Giả định'!$D$17</f>
        <v>115298440.2</v>
      </c>
      <c r="W32" s="86">
        <f>W31*'3_Giả định'!$D$17</f>
        <v>119057177.8</v>
      </c>
      <c r="X32" s="86">
        <f>X31*'3_Giả định'!$D$17</f>
        <v>122919589.9</v>
      </c>
      <c r="Y32" s="86">
        <f>Y31*'3_Giả định'!$D$17</f>
        <v>126892979.5</v>
      </c>
      <c r="Z32" s="86">
        <f>Z31*'3_Giả định'!$D$17</f>
        <v>130983926.4</v>
      </c>
    </row>
    <row r="33" ht="15.0" customHeight="1">
      <c r="A33" s="34" t="s">
        <v>448</v>
      </c>
      <c r="B33" s="3"/>
      <c r="C33" s="86">
        <f>C31*'3_Giả định'!$D$18</f>
        <v>2645938.771</v>
      </c>
      <c r="D33" s="86">
        <f>D31*'3_Giả định'!$D$18</f>
        <v>4741522.278</v>
      </c>
      <c r="E33" s="86">
        <f>E31*'3_Giả định'!$D$18</f>
        <v>6421545.225</v>
      </c>
      <c r="F33" s="86">
        <f>F31*'3_Giả định'!$D$18</f>
        <v>7788538.29</v>
      </c>
      <c r="G33" s="86">
        <f>G31*'3_Giả định'!$D$18</f>
        <v>8920514.265</v>
      </c>
      <c r="H33" s="86">
        <f>H31*'3_Giả định'!$D$18</f>
        <v>9876855.212</v>
      </c>
      <c r="I33" s="86">
        <f>I31*'3_Giả định'!$D$18</f>
        <v>10702786.79</v>
      </c>
      <c r="J33" s="86">
        <f>J31*'3_Giả định'!$D$18</f>
        <v>11432778.85</v>
      </c>
      <c r="K33" s="86">
        <f>K31*'3_Giả định'!$D$18</f>
        <v>12093129.96</v>
      </c>
      <c r="L33" s="86">
        <f>L31*'3_Giả định'!$D$18</f>
        <v>12703931.79</v>
      </c>
      <c r="M33" s="86">
        <f>M31*'3_Giả định'!$D$18</f>
        <v>13280562.07</v>
      </c>
      <c r="N33" s="86">
        <f>N31*'3_Giả định'!$D$18</f>
        <v>13834819.45</v>
      </c>
      <c r="O33" s="86">
        <f>O31*'3_Giả định'!$D$18</f>
        <v>14375786.01</v>
      </c>
      <c r="P33" s="86">
        <f>P31*'3_Giả định'!$D$18</f>
        <v>14910482.94</v>
      </c>
      <c r="Q33" s="86">
        <f>Q31*'3_Giả định'!$D$18</f>
        <v>15444368.94</v>
      </c>
      <c r="R33" s="86">
        <f>R31*'3_Giả định'!$D$18</f>
        <v>15981719.17</v>
      </c>
      <c r="S33" s="86">
        <f>S31*'3_Giả định'!$D$18</f>
        <v>16525913.3</v>
      </c>
      <c r="T33" s="86">
        <f>T31*'3_Giả định'!$D$18</f>
        <v>17079654.65</v>
      </c>
      <c r="U33" s="86">
        <f>U31*'3_Giả định'!$D$18</f>
        <v>17645136.82</v>
      </c>
      <c r="V33" s="86">
        <f>V31*'3_Giả định'!$D$18</f>
        <v>18224170.45</v>
      </c>
      <c r="W33" s="86">
        <f>W31*'3_Giả định'!$D$18</f>
        <v>18818279.73</v>
      </c>
      <c r="X33" s="86">
        <f>X31*'3_Giả định'!$D$18</f>
        <v>19428775.91</v>
      </c>
      <c r="Y33" s="86">
        <f>Y31*'3_Giả định'!$D$18</f>
        <v>20056813.27</v>
      </c>
      <c r="Z33" s="86">
        <f>Z31*'3_Giả định'!$D$18</f>
        <v>20703431.86</v>
      </c>
    </row>
    <row r="34" ht="15.0" customHeight="1">
      <c r="A34" s="34" t="s">
        <v>150</v>
      </c>
      <c r="B34" s="3"/>
      <c r="C34" s="86">
        <f t="shared" ref="C34:Z34" si="9">C32-C33</f>
        <v>14094061.23</v>
      </c>
      <c r="D34" s="86">
        <f t="shared" si="9"/>
        <v>25256557.72</v>
      </c>
      <c r="E34" s="86">
        <f t="shared" si="9"/>
        <v>34205497.33</v>
      </c>
      <c r="F34" s="86">
        <f t="shared" si="9"/>
        <v>41487027.87</v>
      </c>
      <c r="G34" s="86">
        <f t="shared" si="9"/>
        <v>47516698.28</v>
      </c>
      <c r="H34" s="86">
        <f t="shared" si="9"/>
        <v>52610817.61</v>
      </c>
      <c r="I34" s="86">
        <f t="shared" si="9"/>
        <v>57010288.37</v>
      </c>
      <c r="J34" s="86">
        <f t="shared" si="9"/>
        <v>60898720.28</v>
      </c>
      <c r="K34" s="86">
        <f t="shared" si="9"/>
        <v>64416197.38</v>
      </c>
      <c r="L34" s="86">
        <f t="shared" si="9"/>
        <v>67669741.41</v>
      </c>
      <c r="M34" s="86">
        <f t="shared" si="9"/>
        <v>70741264.67</v>
      </c>
      <c r="N34" s="86">
        <f t="shared" si="9"/>
        <v>73693614.72</v>
      </c>
      <c r="O34" s="86">
        <f t="shared" si="9"/>
        <v>76575168.86</v>
      </c>
      <c r="P34" s="86">
        <f t="shared" si="9"/>
        <v>79423326.71</v>
      </c>
      <c r="Q34" s="86">
        <f t="shared" si="9"/>
        <v>82267165.02</v>
      </c>
      <c r="R34" s="86">
        <f t="shared" si="9"/>
        <v>85129456.11</v>
      </c>
      <c r="S34" s="86">
        <f t="shared" si="9"/>
        <v>88028202.48</v>
      </c>
      <c r="T34" s="86">
        <f t="shared" si="9"/>
        <v>90977803.83</v>
      </c>
      <c r="U34" s="86">
        <f t="shared" si="9"/>
        <v>93989944.69</v>
      </c>
      <c r="V34" s="86">
        <f t="shared" si="9"/>
        <v>97074269.79</v>
      </c>
      <c r="W34" s="86">
        <f t="shared" si="9"/>
        <v>100238898</v>
      </c>
      <c r="X34" s="86">
        <f t="shared" si="9"/>
        <v>103490814</v>
      </c>
      <c r="Y34" s="86">
        <f t="shared" si="9"/>
        <v>106836166.2</v>
      </c>
      <c r="Z34" s="86">
        <f t="shared" si="9"/>
        <v>110280494.6</v>
      </c>
    </row>
    <row r="35" ht="15.0" customHeight="1">
      <c r="A35" s="34" t="s">
        <v>490</v>
      </c>
      <c r="B35" s="3"/>
      <c r="C35" s="86">
        <f>C30*'3_Giả định'!$D$10</f>
        <v>157500000</v>
      </c>
      <c r="D35" s="86">
        <f>D30*'3_Giả định'!$D$10</f>
        <v>162540000</v>
      </c>
      <c r="E35" s="86">
        <f>E30*'3_Giả định'!$D$10</f>
        <v>167741280</v>
      </c>
      <c r="F35" s="86">
        <f>F30*'3_Giả định'!$D$10</f>
        <v>173109001</v>
      </c>
      <c r="G35" s="86">
        <f>G30*'3_Giả định'!$D$10</f>
        <v>178648489</v>
      </c>
      <c r="H35" s="86">
        <f>H30*'3_Giả định'!$D$10</f>
        <v>184365240.6</v>
      </c>
      <c r="I35" s="86">
        <f>I30*'3_Giả định'!$D$10</f>
        <v>190264928.3</v>
      </c>
      <c r="J35" s="86">
        <f>J30*'3_Giả định'!$D$10</f>
        <v>196353406</v>
      </c>
      <c r="K35" s="86">
        <f>K30*'3_Giả định'!$D$10</f>
        <v>202636715</v>
      </c>
      <c r="L35" s="86">
        <f>L30*'3_Giả định'!$D$10</f>
        <v>209121089.9</v>
      </c>
      <c r="M35" s="86">
        <f>M30*'3_Giả định'!$D$10</f>
        <v>215812964.8</v>
      </c>
      <c r="N35" s="86">
        <f>N30*'3_Giả định'!$D$10</f>
        <v>222718979.7</v>
      </c>
      <c r="O35" s="86">
        <f>O30*'3_Giả định'!$D$10</f>
        <v>229845987</v>
      </c>
      <c r="P35" s="86">
        <f>P30*'3_Giả định'!$D$10</f>
        <v>237201058.6</v>
      </c>
      <c r="Q35" s="86">
        <f>Q30*'3_Giả định'!$D$10</f>
        <v>244791492.5</v>
      </c>
      <c r="R35" s="86">
        <f>R30*'3_Giả định'!$D$10</f>
        <v>252624820.2</v>
      </c>
      <c r="S35" s="86">
        <f>S30*'3_Giả định'!$D$10</f>
        <v>260708814.5</v>
      </c>
      <c r="T35" s="86">
        <f>T30*'3_Giả định'!$D$10</f>
        <v>269051496.6</v>
      </c>
      <c r="U35" s="86">
        <f>U30*'3_Giả định'!$D$10</f>
        <v>277661144.4</v>
      </c>
      <c r="V35" s="86">
        <f>V30*'3_Giả định'!$D$10</f>
        <v>286546301.1</v>
      </c>
      <c r="W35" s="86">
        <f>W30*'3_Giả định'!$D$10</f>
        <v>295715782.7</v>
      </c>
      <c r="X35" s="86">
        <f>X30*'3_Giả định'!$D$10</f>
        <v>305178687.7</v>
      </c>
      <c r="Y35" s="86">
        <f>Y30*'3_Giả định'!$D$10</f>
        <v>314944405.8</v>
      </c>
      <c r="Z35" s="86">
        <f>Z30*'3_Giả định'!$D$10</f>
        <v>325022626.7</v>
      </c>
    </row>
    <row r="36" ht="15.0" customHeight="1">
      <c r="A36" s="34" t="s">
        <v>495</v>
      </c>
      <c r="B36" s="3"/>
      <c r="C36" s="86">
        <f>'3_Giả định'!$D$11</f>
        <v>120000000</v>
      </c>
      <c r="D36" s="86">
        <f>'3_Giả định'!$D$11</f>
        <v>120000000</v>
      </c>
      <c r="E36" s="86">
        <f>'3_Giả định'!$D$11</f>
        <v>120000000</v>
      </c>
      <c r="F36" s="86">
        <f>'3_Giả định'!$D$11</f>
        <v>120000000</v>
      </c>
      <c r="G36" s="86">
        <f>'3_Giả định'!$D$11</f>
        <v>120000000</v>
      </c>
      <c r="H36" s="86">
        <f>'3_Giả định'!$D$11</f>
        <v>120000000</v>
      </c>
      <c r="I36" s="86">
        <f>'3_Giả định'!$D$11</f>
        <v>120000000</v>
      </c>
      <c r="J36" s="86">
        <f>'3_Giả định'!$D$11</f>
        <v>120000000</v>
      </c>
      <c r="K36" s="86">
        <f>'3_Giả định'!$D$11</f>
        <v>120000000</v>
      </c>
      <c r="L36" s="86">
        <f>'3_Giả định'!$D$11</f>
        <v>120000000</v>
      </c>
      <c r="M36" s="86">
        <f>'3_Giả định'!$D$11</f>
        <v>120000000</v>
      </c>
      <c r="N36" s="86">
        <f>'3_Giả định'!$D$11</f>
        <v>120000000</v>
      </c>
      <c r="O36" s="86">
        <f>'3_Giả định'!$D$11</f>
        <v>120000000</v>
      </c>
      <c r="P36" s="86">
        <f>'3_Giả định'!$D$11</f>
        <v>120000000</v>
      </c>
      <c r="Q36" s="86">
        <f>'3_Giả định'!$D$11</f>
        <v>120000000</v>
      </c>
      <c r="R36" s="86">
        <f>'3_Giả định'!$D$11</f>
        <v>120000000</v>
      </c>
      <c r="S36" s="86">
        <f>'3_Giả định'!$D$11</f>
        <v>120000000</v>
      </c>
      <c r="T36" s="86">
        <f>'3_Giả định'!$D$11</f>
        <v>120000000</v>
      </c>
      <c r="U36" s="86">
        <f>'3_Giả định'!$D$11</f>
        <v>120000000</v>
      </c>
      <c r="V36" s="86">
        <f>'3_Giả định'!$D$11</f>
        <v>120000000</v>
      </c>
      <c r="W36" s="86">
        <f>'3_Giả định'!$D$11</f>
        <v>120000000</v>
      </c>
      <c r="X36" s="86">
        <f>'3_Giả định'!$D$11</f>
        <v>120000000</v>
      </c>
      <c r="Y36" s="86">
        <f>'3_Giả định'!$D$11</f>
        <v>120000000</v>
      </c>
      <c r="Z36" s="86">
        <f>'3_Giả định'!$D$11</f>
        <v>120000000</v>
      </c>
    </row>
    <row r="37" ht="15.0" customHeight="1">
      <c r="A37" s="34" t="s">
        <v>541</v>
      </c>
      <c r="B37" s="86">
        <f>-'3_Giả định'!$D$12</f>
        <v>-400000000</v>
      </c>
      <c r="C37" s="86">
        <f t="shared" ref="C37:Z37" si="10">C34-C35-C36</f>
        <v>-263405938.8</v>
      </c>
      <c r="D37" s="86">
        <f t="shared" si="10"/>
        <v>-257283442.3</v>
      </c>
      <c r="E37" s="86">
        <f t="shared" si="10"/>
        <v>-253535782.7</v>
      </c>
      <c r="F37" s="86">
        <f t="shared" si="10"/>
        <v>-251621973.1</v>
      </c>
      <c r="G37" s="86">
        <f t="shared" si="10"/>
        <v>-251131790.7</v>
      </c>
      <c r="H37" s="86">
        <f t="shared" si="10"/>
        <v>-251754423</v>
      </c>
      <c r="I37" s="86">
        <f t="shared" si="10"/>
        <v>-253254640</v>
      </c>
      <c r="J37" s="86">
        <f t="shared" si="10"/>
        <v>-255454685.8</v>
      </c>
      <c r="K37" s="86">
        <f t="shared" si="10"/>
        <v>-258220517.7</v>
      </c>
      <c r="L37" s="86">
        <f t="shared" si="10"/>
        <v>-261451348.5</v>
      </c>
      <c r="M37" s="86">
        <f t="shared" si="10"/>
        <v>-265071700.1</v>
      </c>
      <c r="N37" s="86">
        <f t="shared" si="10"/>
        <v>-269025365</v>
      </c>
      <c r="O37" s="86">
        <f t="shared" si="10"/>
        <v>-273270818.2</v>
      </c>
      <c r="P37" s="86">
        <f t="shared" si="10"/>
        <v>-277777731.9</v>
      </c>
      <c r="Q37" s="86">
        <f t="shared" si="10"/>
        <v>-282524327.5</v>
      </c>
      <c r="R37" s="86">
        <f t="shared" si="10"/>
        <v>-287495364.1</v>
      </c>
      <c r="S37" s="86">
        <f t="shared" si="10"/>
        <v>-292680612</v>
      </c>
      <c r="T37" s="86">
        <f t="shared" si="10"/>
        <v>-298073692.7</v>
      </c>
      <c r="U37" s="86">
        <f t="shared" si="10"/>
        <v>-303671199.8</v>
      </c>
      <c r="V37" s="86">
        <f t="shared" si="10"/>
        <v>-309472031.3</v>
      </c>
      <c r="W37" s="86">
        <f t="shared" si="10"/>
        <v>-315476884.7</v>
      </c>
      <c r="X37" s="86">
        <f t="shared" si="10"/>
        <v>-321687873.7</v>
      </c>
      <c r="Y37" s="86">
        <f t="shared" si="10"/>
        <v>-328108239.6</v>
      </c>
      <c r="Z37" s="86">
        <f t="shared" si="10"/>
        <v>-334742132.2</v>
      </c>
    </row>
    <row r="38" ht="15.0" customHeight="1">
      <c r="A38" s="34" t="s">
        <v>542</v>
      </c>
      <c r="B38" s="86">
        <f>'3_Giả định'!$D$13+B37</f>
        <v>1100000000</v>
      </c>
      <c r="C38" s="86">
        <f t="shared" ref="C38:Z38" si="11">B38+C37</f>
        <v>836594061.2</v>
      </c>
      <c r="D38" s="86">
        <f t="shared" si="11"/>
        <v>579310619</v>
      </c>
      <c r="E38" s="86">
        <f t="shared" si="11"/>
        <v>325774836.3</v>
      </c>
      <c r="F38" s="86">
        <f t="shared" si="11"/>
        <v>74152863.2</v>
      </c>
      <c r="G38" s="86">
        <f t="shared" si="11"/>
        <v>-176978927.5</v>
      </c>
      <c r="H38" s="86">
        <f t="shared" si="11"/>
        <v>-428733350.5</v>
      </c>
      <c r="I38" s="86">
        <f t="shared" si="11"/>
        <v>-681987990.5</v>
      </c>
      <c r="J38" s="86">
        <f t="shared" si="11"/>
        <v>-937442676.3</v>
      </c>
      <c r="K38" s="86">
        <f t="shared" si="11"/>
        <v>-1195663194</v>
      </c>
      <c r="L38" s="86">
        <f t="shared" si="11"/>
        <v>-1457114542</v>
      </c>
      <c r="M38" s="86">
        <f t="shared" si="11"/>
        <v>-1722186243</v>
      </c>
      <c r="N38" s="86">
        <f t="shared" si="11"/>
        <v>-1991211608</v>
      </c>
      <c r="O38" s="86">
        <f t="shared" si="11"/>
        <v>-2264482426</v>
      </c>
      <c r="P38" s="86">
        <f t="shared" si="11"/>
        <v>-2542260158</v>
      </c>
      <c r="Q38" s="86">
        <f t="shared" si="11"/>
        <v>-2824784485</v>
      </c>
      <c r="R38" s="86">
        <f t="shared" si="11"/>
        <v>-3112279849</v>
      </c>
      <c r="S38" s="86">
        <f t="shared" si="11"/>
        <v>-3404960461</v>
      </c>
      <c r="T38" s="86">
        <f t="shared" si="11"/>
        <v>-3703034154</v>
      </c>
      <c r="U38" s="86">
        <f t="shared" si="11"/>
        <v>-4006705354</v>
      </c>
      <c r="V38" s="86">
        <f t="shared" si="11"/>
        <v>-4316177385</v>
      </c>
      <c r="W38" s="86">
        <f t="shared" si="11"/>
        <v>-4631654270</v>
      </c>
      <c r="X38" s="86">
        <f t="shared" si="11"/>
        <v>-4953342143</v>
      </c>
      <c r="Y38" s="86">
        <f t="shared" si="11"/>
        <v>-5281450383</v>
      </c>
      <c r="Z38" s="86">
        <f t="shared" si="11"/>
        <v>-5616192515</v>
      </c>
    </row>
    <row r="39" ht="15.0" customHeight="1">
      <c r="A39" s="34" t="s">
        <v>543</v>
      </c>
      <c r="B39" s="86">
        <f>B37</f>
        <v>-400000000</v>
      </c>
      <c r="C39" s="86">
        <f t="shared" ref="C39:Z39" si="12">B39+C37</f>
        <v>-663405938.8</v>
      </c>
      <c r="D39" s="86">
        <f t="shared" si="12"/>
        <v>-920689381</v>
      </c>
      <c r="E39" s="86">
        <f t="shared" si="12"/>
        <v>-1174225164</v>
      </c>
      <c r="F39" s="86">
        <f t="shared" si="12"/>
        <v>-1425847137</v>
      </c>
      <c r="G39" s="86">
        <f t="shared" si="12"/>
        <v>-1676978928</v>
      </c>
      <c r="H39" s="86">
        <f t="shared" si="12"/>
        <v>-1928733351</v>
      </c>
      <c r="I39" s="86">
        <f t="shared" si="12"/>
        <v>-2181987991</v>
      </c>
      <c r="J39" s="86">
        <f t="shared" si="12"/>
        <v>-2437442676</v>
      </c>
      <c r="K39" s="86">
        <f t="shared" si="12"/>
        <v>-2695663194</v>
      </c>
      <c r="L39" s="86">
        <f t="shared" si="12"/>
        <v>-2957114542</v>
      </c>
      <c r="M39" s="86">
        <f t="shared" si="12"/>
        <v>-3222186243</v>
      </c>
      <c r="N39" s="86">
        <f t="shared" si="12"/>
        <v>-3491211608</v>
      </c>
      <c r="O39" s="86">
        <f t="shared" si="12"/>
        <v>-3764482426</v>
      </c>
      <c r="P39" s="86">
        <f t="shared" si="12"/>
        <v>-4042260158</v>
      </c>
      <c r="Q39" s="86">
        <f t="shared" si="12"/>
        <v>-4324784485</v>
      </c>
      <c r="R39" s="86">
        <f t="shared" si="12"/>
        <v>-4612279849</v>
      </c>
      <c r="S39" s="86">
        <f t="shared" si="12"/>
        <v>-4904960461</v>
      </c>
      <c r="T39" s="86">
        <f t="shared" si="12"/>
        <v>-5203034154</v>
      </c>
      <c r="U39" s="86">
        <f t="shared" si="12"/>
        <v>-5506705354</v>
      </c>
      <c r="V39" s="86">
        <f t="shared" si="12"/>
        <v>-5816177385</v>
      </c>
      <c r="W39" s="86">
        <f t="shared" si="12"/>
        <v>-6131654270</v>
      </c>
      <c r="X39" s="86">
        <f t="shared" si="12"/>
        <v>-6453342143</v>
      </c>
      <c r="Y39" s="86">
        <f t="shared" si="12"/>
        <v>-6781450383</v>
      </c>
      <c r="Z39" s="86">
        <f t="shared" si="12"/>
        <v>-7116192515</v>
      </c>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0" customHeight="1">
      <c r="A42" s="88" t="s">
        <v>546</v>
      </c>
      <c r="B42" s="3"/>
      <c r="C42" s="3"/>
      <c r="D42" s="3"/>
      <c r="E42" s="3"/>
      <c r="F42" s="3"/>
      <c r="G42" s="3"/>
      <c r="H42" s="3"/>
      <c r="I42" s="3"/>
      <c r="J42" s="3"/>
      <c r="K42" s="3"/>
      <c r="L42" s="3"/>
      <c r="M42" s="3"/>
      <c r="N42" s="3"/>
      <c r="O42" s="3"/>
      <c r="P42" s="3"/>
      <c r="Q42" s="3"/>
      <c r="R42" s="3"/>
      <c r="S42" s="3"/>
      <c r="T42" s="3"/>
      <c r="U42" s="3"/>
      <c r="V42" s="3"/>
      <c r="W42" s="3"/>
      <c r="X42" s="3"/>
      <c r="Y42" s="3"/>
      <c r="Z42" s="3"/>
    </row>
    <row r="43" ht="26.25" customHeight="1">
      <c r="A43" s="9" t="s">
        <v>287</v>
      </c>
      <c r="B43" s="9" t="s">
        <v>210</v>
      </c>
      <c r="C43" s="9" t="s">
        <v>211</v>
      </c>
      <c r="D43" s="9" t="s">
        <v>212</v>
      </c>
      <c r="E43" s="9" t="s">
        <v>288</v>
      </c>
      <c r="F43" s="3"/>
      <c r="G43" s="3"/>
      <c r="H43" s="3"/>
      <c r="I43" s="3"/>
      <c r="J43" s="3"/>
      <c r="K43" s="3"/>
      <c r="L43" s="3"/>
      <c r="M43" s="3"/>
      <c r="N43" s="3"/>
      <c r="O43" s="3"/>
      <c r="P43" s="3"/>
      <c r="Q43" s="3"/>
      <c r="R43" s="3"/>
      <c r="S43" s="3"/>
      <c r="T43" s="3"/>
      <c r="U43" s="3"/>
      <c r="V43" s="3"/>
      <c r="W43" s="3"/>
      <c r="X43" s="3"/>
      <c r="Y43" s="3"/>
      <c r="Z43" s="3"/>
    </row>
    <row r="44" ht="31.5" customHeight="1">
      <c r="A44" s="13" t="s">
        <v>547</v>
      </c>
      <c r="B44" s="36">
        <f t="array" ref="B44">B13+NPV('3_Giả định'!$B$14/12,C13:Z13)</f>
        <v>1981126391</v>
      </c>
      <c r="C44" s="36">
        <f t="array" ref="C44">B25+NPV('3_Giả định'!$C$14/12,C25:Z25)</f>
        <v>-5591201777</v>
      </c>
      <c r="D44" s="36">
        <f t="array" ref="D44">B37+NPV('3_Giả định'!$D$14/12,C37:Z37)</f>
        <v>-6128196562</v>
      </c>
      <c r="E44" s="3" t="s">
        <v>414</v>
      </c>
      <c r="F44" s="3"/>
      <c r="G44" s="3"/>
      <c r="H44" s="3"/>
      <c r="I44" s="3"/>
      <c r="J44" s="3"/>
      <c r="K44" s="3"/>
      <c r="L44" s="3"/>
      <c r="M44" s="3"/>
      <c r="N44" s="3"/>
      <c r="O44" s="3"/>
      <c r="P44" s="3"/>
      <c r="Q44" s="3"/>
      <c r="R44" s="3"/>
      <c r="S44" s="3"/>
      <c r="T44" s="3"/>
      <c r="U44" s="3"/>
      <c r="V44" s="3"/>
      <c r="W44" s="3"/>
      <c r="X44" s="3"/>
      <c r="Y44" s="3"/>
      <c r="Z44" s="3"/>
    </row>
    <row r="45" ht="15.0" customHeight="1">
      <c r="A45" s="34" t="s">
        <v>548</v>
      </c>
      <c r="B45" s="41">
        <f>IFERROR((1+IRR(B13:Z13,0.01))^12-1,"Không tính được")</f>
        <v>0.9123428331</v>
      </c>
      <c r="C45" s="41" t="str">
        <f>IFERROR((1+IRR(B25:Z25,0.01))^12-1,"Không tính được")</f>
        <v>Không tính được</v>
      </c>
      <c r="D45" s="41" t="str">
        <f>IFERROR((1+IRR(B37:Z37,0.01))^12-1,"Không tính được")</f>
        <v>Không tính được</v>
      </c>
      <c r="E45" s="3" t="s">
        <v>549</v>
      </c>
      <c r="F45" s="42" t="s">
        <v>550</v>
      </c>
      <c r="G45" s="3"/>
      <c r="H45" s="3"/>
      <c r="I45" s="3"/>
      <c r="J45" s="3"/>
      <c r="K45" s="3"/>
      <c r="L45" s="3"/>
      <c r="M45" s="3"/>
      <c r="N45" s="3"/>
      <c r="O45" s="3"/>
      <c r="P45" s="3"/>
      <c r="Q45" s="3"/>
      <c r="R45" s="3"/>
      <c r="S45" s="3"/>
      <c r="T45" s="3"/>
      <c r="U45" s="3"/>
      <c r="V45" s="3"/>
      <c r="W45" s="3"/>
      <c r="X45" s="3"/>
      <c r="Y45" s="3"/>
      <c r="Z45" s="3"/>
    </row>
    <row r="46" ht="15.0" customHeight="1">
      <c r="A46" s="34" t="s">
        <v>551</v>
      </c>
      <c r="B46" s="36">
        <f>MIN(B14:Z14)</f>
        <v>-470952092.2</v>
      </c>
      <c r="C46" s="36">
        <f>MIN(B26:Z26)</f>
        <v>-4966748318</v>
      </c>
      <c r="D46" s="36">
        <f>MIN(B38:Z38)</f>
        <v>-5616192515</v>
      </c>
      <c r="E46" s="3" t="s">
        <v>414</v>
      </c>
      <c r="F46" s="3"/>
      <c r="G46" s="3"/>
      <c r="H46" s="3"/>
      <c r="I46" s="3"/>
      <c r="J46" s="3"/>
      <c r="K46" s="3"/>
      <c r="L46" s="3"/>
      <c r="M46" s="3"/>
      <c r="N46" s="3"/>
      <c r="O46" s="3"/>
      <c r="P46" s="3"/>
      <c r="Q46" s="3"/>
      <c r="R46" s="3"/>
      <c r="S46" s="3"/>
      <c r="T46" s="3"/>
      <c r="U46" s="3"/>
      <c r="V46" s="3"/>
      <c r="W46" s="3"/>
      <c r="X46" s="3"/>
      <c r="Y46" s="3"/>
      <c r="Z46" s="3"/>
    </row>
    <row r="47" ht="15.0" customHeight="1">
      <c r="A47" s="34" t="s">
        <v>552</v>
      </c>
      <c r="B47" s="81">
        <f t="array" ref="B47">IF('3_Giả định'!B7=0,"Chưa điền",IFERROR(MATCH(TRUE(),INDEX(C14:Z14&lt;0,0),0),"Không hết tiền trong 24 tháng"))</f>
        <v>5</v>
      </c>
      <c r="C47" s="81">
        <f t="array" ref="C47">IF('3_Giả định'!C7=0,"Chưa điền",IFERROR(MATCH(TRUE(),INDEX(C26:Z26&lt;0,0),0),"Không hết tiền trong 24 tháng"))</f>
        <v>5</v>
      </c>
      <c r="D47" s="81">
        <f t="array" ref="D47">IF('3_Giả định'!D7=0,"Chưa điền",IFERROR(MATCH(TRUE(),INDEX(C38:Z38&lt;0,0),0),"Không hết tiền trong 24 tháng"))</f>
        <v>5</v>
      </c>
      <c r="E47" s="3" t="s">
        <v>553</v>
      </c>
      <c r="F47" s="42" t="s">
        <v>554</v>
      </c>
      <c r="G47" s="3"/>
      <c r="H47" s="3"/>
      <c r="I47" s="3"/>
      <c r="J47" s="3"/>
      <c r="K47" s="3"/>
      <c r="L47" s="3"/>
      <c r="M47" s="3"/>
      <c r="N47" s="3"/>
      <c r="O47" s="3"/>
      <c r="P47" s="3"/>
      <c r="Q47" s="3"/>
      <c r="R47" s="3"/>
      <c r="S47" s="3"/>
      <c r="T47" s="3"/>
      <c r="U47" s="3"/>
      <c r="V47" s="3"/>
      <c r="W47" s="3"/>
      <c r="X47" s="3"/>
      <c r="Y47" s="3"/>
      <c r="Z47" s="3"/>
    </row>
    <row r="48" ht="15.0" customHeight="1">
      <c r="A48" s="34" t="s">
        <v>555</v>
      </c>
      <c r="B48" s="81">
        <f t="array" ref="B48">IF('3_Giả định'!B7=0,"Chưa điền",IFERROR(MATCH(TRUE(),INDEX(C15:Z15&gt;=0,0),0),"Chưa hoàn vốn trong 24 tháng"))</f>
        <v>20</v>
      </c>
      <c r="C48" s="81" t="str">
        <f t="array" ref="C48">IF('3_Giả định'!C7=0,"Chưa điền",IFERROR(MATCH(TRUE(),INDEX(C27:Z27&gt;=0,0),0),"Chưa hoàn vốn trong 24 tháng"))</f>
        <v>Chưa hoàn vốn trong 24 tháng</v>
      </c>
      <c r="D48" s="81" t="str">
        <f t="array" ref="D48">IF('3_Giả định'!D7=0,"Chưa điền",IFERROR(MATCH(TRUE(),INDEX(C39:Z39&gt;=0,0),0),"Chưa hoàn vốn trong 24 tháng"))</f>
        <v>Chưa hoàn vốn trong 24 tháng</v>
      </c>
      <c r="E48" s="3" t="s">
        <v>556</v>
      </c>
      <c r="F48" s="3"/>
      <c r="G48" s="3"/>
      <c r="H48" s="3"/>
      <c r="I48" s="3"/>
      <c r="J48" s="3"/>
      <c r="K48" s="3"/>
      <c r="L48" s="3"/>
      <c r="M48" s="3"/>
      <c r="N48" s="3"/>
      <c r="O48" s="3"/>
      <c r="P48" s="3"/>
      <c r="Q48" s="3"/>
      <c r="R48" s="3"/>
      <c r="S48" s="3"/>
      <c r="T48" s="3"/>
      <c r="U48" s="3"/>
      <c r="V48" s="3"/>
      <c r="W48" s="3"/>
      <c r="X48" s="3"/>
      <c r="Y48" s="3"/>
      <c r="Z48" s="3"/>
    </row>
    <row r="49" ht="15.0" customHeight="1">
      <c r="A49" s="34" t="s">
        <v>557</v>
      </c>
      <c r="B49" s="66">
        <f t="shared" ref="B49:B50" si="13">Z7</f>
        <v>32026.61585</v>
      </c>
      <c r="C49" s="66">
        <f t="shared" ref="C49:C50" si="14">Z19</f>
        <v>8244.714808</v>
      </c>
      <c r="D49" s="66">
        <f t="shared" ref="D49:D50" si="15">Z31</f>
        <v>1173.691097</v>
      </c>
      <c r="E49" s="3"/>
      <c r="F49" s="3"/>
      <c r="G49" s="3"/>
      <c r="H49" s="3"/>
      <c r="I49" s="3"/>
      <c r="J49" s="3"/>
      <c r="K49" s="3"/>
      <c r="L49" s="3"/>
      <c r="M49" s="3"/>
      <c r="N49" s="3"/>
      <c r="O49" s="3"/>
      <c r="P49" s="3"/>
      <c r="Q49" s="3"/>
      <c r="R49" s="3"/>
      <c r="S49" s="3"/>
      <c r="T49" s="3"/>
      <c r="U49" s="3"/>
      <c r="V49" s="3"/>
      <c r="W49" s="3"/>
      <c r="X49" s="3"/>
      <c r="Y49" s="3"/>
      <c r="Z49" s="3"/>
    </row>
    <row r="50" ht="15.0" customHeight="1">
      <c r="A50" s="34" t="s">
        <v>558</v>
      </c>
      <c r="B50" s="36">
        <f t="shared" si="13"/>
        <v>4914484201</v>
      </c>
      <c r="C50" s="36">
        <f t="shared" si="14"/>
        <v>1150137716</v>
      </c>
      <c r="D50" s="36">
        <f t="shared" si="15"/>
        <v>130983926.4</v>
      </c>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0" customHeight="1">
      <c r="A53" s="88" t="s">
        <v>559</v>
      </c>
      <c r="B53" s="3"/>
      <c r="C53" s="3"/>
      <c r="D53" s="3"/>
      <c r="E53" s="3"/>
      <c r="F53" s="3"/>
      <c r="G53" s="3"/>
      <c r="H53" s="3"/>
      <c r="I53" s="3"/>
      <c r="J53" s="3"/>
      <c r="K53" s="3"/>
      <c r="L53" s="3"/>
      <c r="M53" s="3"/>
      <c r="N53" s="3"/>
      <c r="O53" s="3"/>
      <c r="P53" s="3"/>
      <c r="Q53" s="3"/>
      <c r="R53" s="3"/>
      <c r="S53" s="3"/>
      <c r="T53" s="3"/>
      <c r="U53" s="3"/>
      <c r="V53" s="3"/>
      <c r="W53" s="3"/>
      <c r="X53" s="3"/>
      <c r="Y53" s="3"/>
      <c r="Z53" s="3"/>
    </row>
    <row r="54" ht="15.0" customHeight="1">
      <c r="A54" s="3" t="s">
        <v>560</v>
      </c>
      <c r="B54" s="91">
        <v>0.2</v>
      </c>
      <c r="C54" s="42" t="s">
        <v>561</v>
      </c>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45.0" customHeight="1">
      <c r="A56" s="92" t="s">
        <v>562</v>
      </c>
      <c r="B56" s="93" t="s">
        <v>563</v>
      </c>
      <c r="C56" s="93" t="s">
        <v>564</v>
      </c>
      <c r="D56" s="93" t="s">
        <v>565</v>
      </c>
      <c r="E56" s="93" t="s">
        <v>566</v>
      </c>
      <c r="F56" s="93" t="s">
        <v>552</v>
      </c>
      <c r="G56" s="93" t="s">
        <v>567</v>
      </c>
      <c r="H56" s="93" t="s">
        <v>568</v>
      </c>
      <c r="I56" s="3"/>
      <c r="J56" s="3"/>
      <c r="K56" s="3"/>
      <c r="L56" s="3"/>
      <c r="M56" s="3"/>
      <c r="N56" s="3"/>
      <c r="O56" s="3"/>
      <c r="P56" s="3"/>
      <c r="Q56" s="3"/>
      <c r="R56" s="3"/>
      <c r="S56" s="3"/>
      <c r="T56" s="3"/>
      <c r="U56" s="3"/>
      <c r="V56" s="3"/>
      <c r="W56" s="3"/>
      <c r="X56" s="3"/>
      <c r="Y56" s="3"/>
      <c r="Z56" s="3"/>
    </row>
    <row r="57" ht="27.75" customHeight="1">
      <c r="A57" s="12" t="s">
        <v>569</v>
      </c>
      <c r="B57" s="94" t="s">
        <v>570</v>
      </c>
      <c r="C57" s="94" t="s">
        <v>570</v>
      </c>
      <c r="D57" s="95">
        <f t="array" ref="D57">(B94+NPV($K$80/12,C94:Z94))/1000000</f>
        <v>-5591.201777</v>
      </c>
      <c r="E57" s="94" t="s">
        <v>570</v>
      </c>
      <c r="F57" s="96">
        <f t="array" ref="F57">IFERROR(MATCH(TRUE(),INDEX(C95:Z95&lt;0,0),0),"Không hết tiền trong 24 tháng")</f>
        <v>5</v>
      </c>
      <c r="G57" s="96" t="str">
        <f t="array" ref="G57">IFERROR(MATCH(TRUE(),INDEX(C96:Z96&gt;=0,0),0),"Chưa hoàn vốn trong 24 tháng")</f>
        <v>Chưa hoàn vốn trong 24 tháng</v>
      </c>
      <c r="H57" s="3"/>
      <c r="I57" s="3"/>
      <c r="J57" s="3"/>
      <c r="K57" s="3"/>
      <c r="L57" s="3"/>
      <c r="M57" s="3"/>
      <c r="N57" s="3"/>
      <c r="O57" s="3"/>
      <c r="P57" s="3"/>
      <c r="Q57" s="3"/>
      <c r="R57" s="3"/>
      <c r="S57" s="3"/>
      <c r="T57" s="3"/>
      <c r="U57" s="3"/>
      <c r="V57" s="3"/>
      <c r="W57" s="3"/>
      <c r="X57" s="3"/>
      <c r="Y57" s="3"/>
      <c r="Z57" s="3"/>
    </row>
    <row r="58" ht="27.75" customHeight="1">
      <c r="A58" s="3" t="s">
        <v>571</v>
      </c>
      <c r="B58" s="95">
        <f>'3_Giả định'!$C$17</f>
        <v>139500</v>
      </c>
      <c r="C58" s="95">
        <f>B81</f>
        <v>111600</v>
      </c>
      <c r="D58" s="95">
        <f t="array" ref="D58">(B100+NPV($K$81/12,C100:Z100))/1000000</f>
        <v>-7561.80079</v>
      </c>
      <c r="E58" s="95">
        <f t="shared" ref="E58:E64" si="16">D58-$D$57</f>
        <v>-1970.599012</v>
      </c>
      <c r="F58" s="96">
        <f t="array" ref="F58">IFERROR(MATCH(TRUE(),INDEX(C101:Z101&lt;0,0),0),"Không hết tiền trong 24 tháng")</f>
        <v>4</v>
      </c>
      <c r="G58" s="96" t="str">
        <f t="array" ref="G58">IFERROR(MATCH(TRUE(),INDEX(C102:Z102&gt;=0,0),0),"Chưa hoàn vốn trong 24 tháng")</f>
        <v>Chưa hoàn vốn trong 24 tháng</v>
      </c>
      <c r="H58" s="97">
        <f t="shared" ref="H58:H64" si="17">RANK(D58,$D$58:$D$64,1)</f>
        <v>2</v>
      </c>
      <c r="I58" s="3"/>
      <c r="J58" s="3"/>
      <c r="K58" s="3"/>
      <c r="L58" s="3"/>
      <c r="M58" s="3"/>
      <c r="N58" s="3"/>
      <c r="O58" s="3"/>
      <c r="P58" s="3"/>
      <c r="Q58" s="3"/>
      <c r="R58" s="3"/>
      <c r="S58" s="3"/>
      <c r="T58" s="3"/>
      <c r="U58" s="3"/>
      <c r="V58" s="3"/>
      <c r="W58" s="3"/>
      <c r="X58" s="3"/>
      <c r="Y58" s="3"/>
      <c r="Z58" s="3"/>
    </row>
    <row r="59" ht="27.75" customHeight="1">
      <c r="A59" s="3" t="s">
        <v>572</v>
      </c>
      <c r="B59" s="95">
        <f>'3_Giả định'!$C$18</f>
        <v>14699.65984</v>
      </c>
      <c r="C59" s="95">
        <f>C82</f>
        <v>17639.59181</v>
      </c>
      <c r="D59" s="95">
        <f t="array" ref="D59">(B106+NPV($K$82/12,C106:Z106))/1000000</f>
        <v>-5798.851492</v>
      </c>
      <c r="E59" s="95">
        <f t="shared" si="16"/>
        <v>-207.6497144</v>
      </c>
      <c r="F59" s="96">
        <f t="array" ref="F59">IFERROR(MATCH(TRUE(),INDEX(C107:Z107&lt;0,0),0),"Không hết tiền trong 24 tháng")</f>
        <v>5</v>
      </c>
      <c r="G59" s="96" t="str">
        <f t="array" ref="G59">IFERROR(MATCH(TRUE(),INDEX(C108:Z108&gt;=0,0),0),"Chưa hoàn vốn trong 24 tháng")</f>
        <v>Chưa hoàn vốn trong 24 tháng</v>
      </c>
      <c r="H59" s="97">
        <f t="shared" si="17"/>
        <v>5</v>
      </c>
      <c r="I59" s="3"/>
      <c r="J59" s="3"/>
      <c r="K59" s="3"/>
      <c r="L59" s="3"/>
      <c r="M59" s="3"/>
      <c r="N59" s="3"/>
      <c r="O59" s="3"/>
      <c r="P59" s="3"/>
      <c r="Q59" s="3"/>
      <c r="R59" s="3"/>
      <c r="S59" s="3"/>
      <c r="T59" s="3"/>
      <c r="U59" s="3"/>
      <c r="V59" s="3"/>
      <c r="W59" s="3"/>
      <c r="X59" s="3"/>
      <c r="Y59" s="3"/>
      <c r="Z59" s="3"/>
    </row>
    <row r="60" ht="27.75" customHeight="1">
      <c r="A60" s="3" t="s">
        <v>573</v>
      </c>
      <c r="B60" s="98">
        <f>'3_Giả định'!$C$9</f>
        <v>0.15</v>
      </c>
      <c r="C60" s="98">
        <f>F83</f>
        <v>0.18</v>
      </c>
      <c r="D60" s="95">
        <f t="array" ref="D60">(B112+NPV($K$83/12,C112:Z112))/1000000</f>
        <v>-6475.881755</v>
      </c>
      <c r="E60" s="95">
        <f t="shared" si="16"/>
        <v>-884.6799777</v>
      </c>
      <c r="F60" s="96">
        <f t="array" ref="F60">IFERROR(MATCH(TRUE(),INDEX(C113:Z113&lt;0,0),0),"Không hết tiền trong 24 tháng")</f>
        <v>5</v>
      </c>
      <c r="G60" s="96" t="str">
        <f t="array" ref="G60">IFERROR(MATCH(TRUE(),INDEX(C114:Z114&gt;=0,0),0),"Chưa hoàn vốn trong 24 tháng")</f>
        <v>Chưa hoàn vốn trong 24 tháng</v>
      </c>
      <c r="H60" s="97">
        <f t="shared" si="17"/>
        <v>3</v>
      </c>
      <c r="I60" s="3"/>
      <c r="J60" s="3"/>
      <c r="K60" s="3"/>
      <c r="L60" s="3"/>
      <c r="M60" s="3"/>
      <c r="N60" s="3"/>
      <c r="O60" s="3"/>
      <c r="P60" s="3"/>
      <c r="Q60" s="3"/>
      <c r="R60" s="3"/>
      <c r="S60" s="3"/>
      <c r="T60" s="3"/>
      <c r="U60" s="3"/>
      <c r="V60" s="3"/>
      <c r="W60" s="3"/>
      <c r="X60" s="3"/>
      <c r="Y60" s="3"/>
      <c r="Z60" s="3"/>
    </row>
    <row r="61" ht="27.75" customHeight="1">
      <c r="A61" s="3" t="s">
        <v>574</v>
      </c>
      <c r="B61" s="95">
        <f>'3_Giả định'!$C$10</f>
        <v>700000</v>
      </c>
      <c r="C61" s="95">
        <f>G84</f>
        <v>840000</v>
      </c>
      <c r="D61" s="95">
        <f t="array" ref="D61">(B118+NPV($K$84/12,C118:Z118))/1000000</f>
        <v>-7897.409803</v>
      </c>
      <c r="E61" s="95">
        <f t="shared" si="16"/>
        <v>-2306.208025</v>
      </c>
      <c r="F61" s="96">
        <f t="array" ref="F61">IFERROR(MATCH(TRUE(),INDEX(C119:Z119&lt;0,0),0),"Không hết tiền trong 24 tháng")</f>
        <v>4</v>
      </c>
      <c r="G61" s="96" t="str">
        <f t="array" ref="G61">IFERROR(MATCH(TRUE(),INDEX(C120:Z120&gt;=0,0),0),"Chưa hoàn vốn trong 24 tháng")</f>
        <v>Chưa hoàn vốn trong 24 tháng</v>
      </c>
      <c r="H61" s="97">
        <f t="shared" si="17"/>
        <v>1</v>
      </c>
      <c r="I61" s="3"/>
      <c r="J61" s="3"/>
      <c r="K61" s="3"/>
      <c r="L61" s="3"/>
      <c r="M61" s="3"/>
      <c r="N61" s="3"/>
      <c r="O61" s="3"/>
      <c r="P61" s="3"/>
      <c r="Q61" s="3"/>
      <c r="R61" s="3"/>
      <c r="S61" s="3"/>
      <c r="T61" s="3"/>
      <c r="U61" s="3"/>
      <c r="V61" s="3"/>
      <c r="W61" s="3"/>
      <c r="X61" s="3"/>
      <c r="Y61" s="3"/>
      <c r="Z61" s="3"/>
    </row>
    <row r="62" ht="27.75" customHeight="1">
      <c r="A62" s="3" t="s">
        <v>575</v>
      </c>
      <c r="B62" s="99">
        <f>'3_Giả định'!$C$7</f>
        <v>300</v>
      </c>
      <c r="C62" s="99">
        <f>D85</f>
        <v>240</v>
      </c>
      <c r="D62" s="95">
        <f t="array" ref="D62">(B124+NPV($K$85/12,C124:Z124))/1000000</f>
        <v>-5047.94305</v>
      </c>
      <c r="E62" s="95">
        <f t="shared" si="16"/>
        <v>543.2587272</v>
      </c>
      <c r="F62" s="96">
        <f t="array" ref="F62">IFERROR(MATCH(TRUE(),INDEX(C125:Z125&lt;0,0),0),"Không hết tiền trong 24 tháng")</f>
        <v>5</v>
      </c>
      <c r="G62" s="96" t="str">
        <f t="array" ref="G62">IFERROR(MATCH(TRUE(),INDEX(C126:Z126&gt;=0,0),0),"Chưa hoàn vốn trong 24 tháng")</f>
        <v>Chưa hoàn vốn trong 24 tháng</v>
      </c>
      <c r="H62" s="97">
        <f t="shared" si="17"/>
        <v>6</v>
      </c>
      <c r="I62" s="3"/>
      <c r="J62" s="3"/>
      <c r="K62" s="3"/>
      <c r="L62" s="3"/>
      <c r="M62" s="3"/>
      <c r="N62" s="3"/>
      <c r="O62" s="3"/>
      <c r="P62" s="3"/>
      <c r="Q62" s="3"/>
      <c r="R62" s="3"/>
      <c r="S62" s="3"/>
      <c r="T62" s="3"/>
      <c r="U62" s="3"/>
      <c r="V62" s="3"/>
      <c r="W62" s="3"/>
      <c r="X62" s="3"/>
      <c r="Y62" s="3"/>
      <c r="Z62" s="3"/>
    </row>
    <row r="63" ht="27.75" customHeight="1">
      <c r="A63" s="3" t="s">
        <v>576</v>
      </c>
      <c r="B63" s="98">
        <f>'3_Giả định'!$C$8</f>
        <v>0.08</v>
      </c>
      <c r="C63" s="98">
        <f>E86</f>
        <v>0.064</v>
      </c>
      <c r="D63" s="95">
        <f t="array" ref="D63">(B130+NPV($K$86/12,C130:Z130))/1000000</f>
        <v>-4836.515787</v>
      </c>
      <c r="E63" s="95">
        <f t="shared" si="16"/>
        <v>754.6859907</v>
      </c>
      <c r="F63" s="96">
        <f t="array" ref="F63">IFERROR(MATCH(TRUE(),INDEX(C131:Z131&lt;0,0),0),"Không hết tiền trong 24 tháng")</f>
        <v>5</v>
      </c>
      <c r="G63" s="96" t="str">
        <f t="array" ref="G63">IFERROR(MATCH(TRUE(),INDEX(C132:Z132&gt;=0,0),0),"Chưa hoàn vốn trong 24 tháng")</f>
        <v>Chưa hoàn vốn trong 24 tháng</v>
      </c>
      <c r="H63" s="97">
        <f t="shared" si="17"/>
        <v>7</v>
      </c>
      <c r="I63" s="3"/>
      <c r="J63" s="3"/>
      <c r="K63" s="3"/>
      <c r="L63" s="3"/>
      <c r="M63" s="3"/>
      <c r="N63" s="3"/>
      <c r="O63" s="3"/>
      <c r="P63" s="3"/>
      <c r="Q63" s="3"/>
      <c r="R63" s="3"/>
      <c r="S63" s="3"/>
      <c r="T63" s="3"/>
      <c r="U63" s="3"/>
      <c r="V63" s="3"/>
      <c r="W63" s="3"/>
      <c r="X63" s="3"/>
      <c r="Y63" s="3"/>
      <c r="Z63" s="3"/>
    </row>
    <row r="64" ht="27.75" customHeight="1">
      <c r="A64" s="3" t="s">
        <v>577</v>
      </c>
      <c r="B64" s="95">
        <f>'3_Giả định'!$C$11</f>
        <v>120000000</v>
      </c>
      <c r="C64" s="95">
        <f>H87</f>
        <v>144000000</v>
      </c>
      <c r="D64" s="95">
        <f t="array" ref="D64">(B136+NPV($K$87/12,C136:Z136))/1000000</f>
        <v>-6086.183406</v>
      </c>
      <c r="E64" s="95">
        <f t="shared" si="16"/>
        <v>-494.9816283</v>
      </c>
      <c r="F64" s="96">
        <f t="array" ref="F64">IFERROR(MATCH(TRUE(),INDEX(C137:Z137&lt;0,0),0),"Không hết tiền trong 24 tháng")</f>
        <v>4</v>
      </c>
      <c r="G64" s="96" t="str">
        <f t="array" ref="G64">IFERROR(MATCH(TRUE(),INDEX(C138:Z138&gt;=0,0),0),"Chưa hoàn vốn trong 24 tháng")</f>
        <v>Chưa hoàn vốn trong 24 tháng</v>
      </c>
      <c r="H64" s="97">
        <f t="shared" si="17"/>
        <v>4</v>
      </c>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0" customHeight="1">
      <c r="A66" s="12" t="s">
        <v>578</v>
      </c>
      <c r="B66" s="100" t="str">
        <f t="array" ref="B66">IF(MAX(D58:D64)-MIN(D58:D64)&lt;0.5,"Chưa đủ số liệu",INDEX(A58:A64,MATCH(MIN(D58:D64),D58:D64,0)))</f>
        <v>Chi phí có một khách tăng</v>
      </c>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31.5" customHeight="1">
      <c r="A68" s="101" t="s">
        <v>579</v>
      </c>
      <c r="B68" s="94" t="s">
        <v>570</v>
      </c>
      <c r="C68" s="94" t="s">
        <v>570</v>
      </c>
      <c r="D68" s="95">
        <f t="array" ref="D68">(B142+NPV($K$88/12,C142:Z142))/1000000</f>
        <v>-7855.308062</v>
      </c>
      <c r="E68" s="95">
        <f>D68-$D$57</f>
        <v>-2264.106284</v>
      </c>
      <c r="F68" s="96">
        <f t="array" ref="F68">IFERROR(MATCH(TRUE(),INDEX(C143:Z143&lt;0,0),0),"Không hết tiền trong 24 tháng")</f>
        <v>4</v>
      </c>
      <c r="G68" s="96" t="str">
        <f t="array" ref="G68">IFERROR(MATCH(TRUE(),INDEX(C144:Z144&gt;=0,0),0),"Chưa hoàn vốn trong 24 tháng")</f>
        <v>Chưa hoàn vốn trong 24 tháng</v>
      </c>
      <c r="H68" s="3"/>
      <c r="I68" s="3"/>
      <c r="J68" s="3"/>
      <c r="K68" s="3"/>
      <c r="L68" s="3"/>
      <c r="M68" s="3"/>
      <c r="N68" s="3"/>
      <c r="O68" s="3"/>
      <c r="P68" s="3"/>
      <c r="Q68" s="3"/>
      <c r="R68" s="3"/>
      <c r="S68" s="3"/>
      <c r="T68" s="3"/>
      <c r="U68" s="3"/>
      <c r="V68" s="3"/>
      <c r="W68" s="3"/>
      <c r="X68" s="3"/>
      <c r="Y68" s="3"/>
      <c r="Z68" s="3"/>
    </row>
    <row r="69" ht="15.0" customHeight="1">
      <c r="A69" s="42" t="s">
        <v>580</v>
      </c>
      <c r="B69" s="3"/>
      <c r="C69" s="3"/>
      <c r="D69" s="3"/>
      <c r="E69" s="3"/>
      <c r="F69" s="3"/>
      <c r="G69" s="3"/>
      <c r="H69" s="3"/>
      <c r="I69" s="3"/>
      <c r="J69" s="3"/>
      <c r="K69" s="3"/>
      <c r="L69" s="3"/>
      <c r="M69" s="3"/>
      <c r="N69" s="3"/>
      <c r="O69" s="3"/>
      <c r="P69" s="3"/>
      <c r="Q69" s="3"/>
      <c r="R69" s="3"/>
      <c r="S69" s="3"/>
      <c r="T69" s="3"/>
      <c r="U69" s="3"/>
      <c r="V69" s="3"/>
      <c r="W69" s="3"/>
      <c r="X69" s="3"/>
      <c r="Y69" s="3"/>
      <c r="Z69" s="3"/>
    </row>
    <row r="70" ht="15.0" customHeight="1">
      <c r="A70" s="88" t="s">
        <v>581</v>
      </c>
      <c r="B70" s="3"/>
      <c r="C70" s="3"/>
      <c r="D70" s="3"/>
      <c r="E70" s="3"/>
      <c r="F70" s="3"/>
      <c r="G70" s="3"/>
      <c r="H70" s="3"/>
      <c r="I70" s="3"/>
      <c r="J70" s="3"/>
      <c r="K70" s="3"/>
      <c r="L70" s="3"/>
      <c r="M70" s="3"/>
      <c r="N70" s="3"/>
      <c r="O70" s="3"/>
      <c r="P70" s="3"/>
      <c r="Q70" s="3"/>
      <c r="R70" s="3"/>
      <c r="S70" s="3"/>
      <c r="T70" s="3"/>
      <c r="U70" s="3"/>
      <c r="V70" s="3"/>
      <c r="W70" s="3"/>
      <c r="X70" s="3"/>
      <c r="Y70" s="3"/>
      <c r="Z70" s="3"/>
    </row>
    <row r="71" ht="45.0" customHeight="1">
      <c r="A71" s="9" t="s">
        <v>287</v>
      </c>
      <c r="B71" s="9" t="s">
        <v>582</v>
      </c>
      <c r="C71" s="9" t="s">
        <v>583</v>
      </c>
      <c r="D71" s="56" t="s">
        <v>584</v>
      </c>
      <c r="E71" s="102" t="s">
        <v>585</v>
      </c>
      <c r="F71" s="84"/>
      <c r="G71" s="84"/>
      <c r="H71" s="84"/>
      <c r="I71" s="3"/>
      <c r="J71" s="3"/>
      <c r="K71" s="3"/>
      <c r="L71" s="3"/>
      <c r="M71" s="3"/>
      <c r="N71" s="3"/>
      <c r="O71" s="3"/>
      <c r="P71" s="3"/>
      <c r="Q71" s="3"/>
      <c r="R71" s="3"/>
      <c r="S71" s="3"/>
      <c r="T71" s="3"/>
      <c r="U71" s="3"/>
      <c r="V71" s="3"/>
      <c r="W71" s="3"/>
      <c r="X71" s="3"/>
      <c r="Y71" s="3"/>
      <c r="Z71" s="3"/>
    </row>
    <row r="72" ht="15.0" customHeight="1">
      <c r="A72" s="34" t="s">
        <v>586</v>
      </c>
      <c r="B72" s="36">
        <f>'3_Giả định'!C17</f>
        <v>139500</v>
      </c>
      <c r="C72" s="38">
        <f>IFERROR(B72*(1-$B$54*$D$57/($D$57-$D$58)),"")</f>
        <v>218660.9701</v>
      </c>
      <c r="D72" s="43">
        <f>IFERROR(C72/B72-1,"")</f>
        <v>0.5674621516</v>
      </c>
      <c r="E72" s="103" t="s">
        <v>587</v>
      </c>
      <c r="F72" s="54"/>
      <c r="G72" s="54"/>
      <c r="H72" s="55"/>
      <c r="I72" s="3"/>
      <c r="J72" s="3"/>
      <c r="K72" s="3"/>
      <c r="L72" s="3"/>
      <c r="M72" s="3"/>
      <c r="N72" s="3"/>
      <c r="O72" s="3"/>
      <c r="P72" s="3"/>
      <c r="Q72" s="3"/>
      <c r="R72" s="3"/>
      <c r="S72" s="3"/>
      <c r="T72" s="3"/>
      <c r="U72" s="3"/>
      <c r="V72" s="3"/>
      <c r="W72" s="3"/>
      <c r="X72" s="3"/>
      <c r="Y72" s="3"/>
      <c r="Z72" s="3"/>
    </row>
    <row r="73" ht="15.0" customHeight="1">
      <c r="A73" s="34" t="s">
        <v>168</v>
      </c>
      <c r="B73" s="41">
        <f>'4_Chỉ số mỗi khách'!C7</f>
        <v>0.8946260943</v>
      </c>
      <c r="C73" s="73">
        <f>IFERROR(1-('3_Giả định'!C18*(1+$B$54*$D$57/($D$57-$D$59)))/'3_Giả định'!C17,"")</f>
        <v>1.462088246</v>
      </c>
      <c r="D73" s="41">
        <f>IFERROR(C73-B73,"")</f>
        <v>0.5674621516</v>
      </c>
      <c r="E73" s="103" t="s">
        <v>588</v>
      </c>
      <c r="F73" s="54"/>
      <c r="G73" s="54"/>
      <c r="H73" s="55"/>
      <c r="I73" s="3"/>
      <c r="J73" s="3"/>
      <c r="K73" s="3"/>
      <c r="L73" s="3"/>
      <c r="M73" s="3"/>
      <c r="N73" s="3"/>
      <c r="O73" s="3"/>
      <c r="P73" s="3"/>
      <c r="Q73" s="3"/>
      <c r="R73" s="3"/>
      <c r="S73" s="3"/>
      <c r="T73" s="3"/>
      <c r="U73" s="3"/>
      <c r="V73" s="3"/>
      <c r="W73" s="3"/>
      <c r="X73" s="3"/>
      <c r="Y73" s="3"/>
      <c r="Z73" s="3"/>
    </row>
    <row r="74" ht="15.0" customHeight="1">
      <c r="A74" s="34" t="s">
        <v>589</v>
      </c>
      <c r="B74" s="36">
        <f>'3_Giả định'!C10</f>
        <v>700000</v>
      </c>
      <c r="C74" s="38">
        <f>IFERROR(B74*(1+$B$54*$D$57/($D$57-$D$61)),"")</f>
        <v>360582.1156</v>
      </c>
      <c r="D74" s="43">
        <f t="shared" ref="D74:D76" si="18">IFERROR(C74/B74-1,"")</f>
        <v>-0.484882692</v>
      </c>
      <c r="E74" s="104" t="str">
        <f>IFERROR("Trên mức này là 'nguy'. Tương ứng LTV ÷ CAC = "&amp;ROUND('4_Chỉ số mỗi khách'!C9/C74,1)&amp;", không phải 3","")</f>
        <v>Trên mức này là 'nguy'. Tương ứng LTV ÷ CAC = 2.3, không phải 3</v>
      </c>
      <c r="F74" s="54"/>
      <c r="G74" s="54"/>
      <c r="H74" s="55"/>
      <c r="I74" s="3"/>
      <c r="J74" s="3"/>
      <c r="K74" s="3"/>
      <c r="L74" s="3"/>
      <c r="M74" s="3"/>
      <c r="N74" s="3"/>
      <c r="O74" s="3"/>
      <c r="P74" s="3"/>
      <c r="Q74" s="3"/>
      <c r="R74" s="3"/>
      <c r="S74" s="3"/>
      <c r="T74" s="3"/>
      <c r="U74" s="3"/>
      <c r="V74" s="3"/>
      <c r="W74" s="3"/>
      <c r="X74" s="3"/>
      <c r="Y74" s="3"/>
      <c r="Z74" s="3"/>
    </row>
    <row r="75" ht="15.0" customHeight="1">
      <c r="A75" s="34" t="s">
        <v>590</v>
      </c>
      <c r="B75" s="105">
        <f>'3_Giả định'!C7</f>
        <v>300</v>
      </c>
      <c r="C75" s="106">
        <f>IFERROR(B75*(1-$B$54*$D$57/($D$57-$D$62)),"")</f>
        <v>-317.5181177</v>
      </c>
      <c r="D75" s="43">
        <f t="shared" si="18"/>
        <v>-2.058393726</v>
      </c>
      <c r="E75" s="103" t="s">
        <v>591</v>
      </c>
      <c r="F75" s="54"/>
      <c r="G75" s="54"/>
      <c r="H75" s="55"/>
      <c r="I75" s="3"/>
      <c r="J75" s="3"/>
      <c r="K75" s="3"/>
      <c r="L75" s="3"/>
      <c r="M75" s="3"/>
      <c r="N75" s="3"/>
      <c r="O75" s="3"/>
      <c r="P75" s="3"/>
      <c r="Q75" s="3"/>
      <c r="R75" s="3"/>
      <c r="S75" s="3"/>
      <c r="T75" s="3"/>
      <c r="U75" s="3"/>
      <c r="V75" s="3"/>
      <c r="W75" s="3"/>
      <c r="X75" s="3"/>
      <c r="Y75" s="3"/>
      <c r="Z75" s="3"/>
    </row>
    <row r="76" ht="15.0" customHeight="1">
      <c r="A76" s="34" t="s">
        <v>592</v>
      </c>
      <c r="B76" s="36">
        <f>'3_Giả định'!C11</f>
        <v>120000000</v>
      </c>
      <c r="C76" s="38">
        <f>IFERROR(B76*(1+$B$54*$D$57/($D$57-$D$64)),"")</f>
        <v>-151098632.7</v>
      </c>
      <c r="D76" s="43">
        <f t="shared" si="18"/>
        <v>-2.259155273</v>
      </c>
      <c r="E76" s="103" t="s">
        <v>593</v>
      </c>
      <c r="F76" s="54"/>
      <c r="G76" s="54"/>
      <c r="H76" s="55"/>
      <c r="I76" s="3"/>
      <c r="J76" s="3"/>
      <c r="K76" s="3"/>
      <c r="L76" s="3"/>
      <c r="M76" s="3"/>
      <c r="N76" s="3"/>
      <c r="O76" s="3"/>
      <c r="P76" s="3"/>
      <c r="Q76" s="3"/>
      <c r="R76" s="3"/>
      <c r="S76" s="3"/>
      <c r="T76" s="3"/>
      <c r="U76" s="3"/>
      <c r="V76" s="3"/>
      <c r="W76" s="3"/>
      <c r="X76" s="3"/>
      <c r="Y76" s="3"/>
      <c r="Z76" s="3"/>
    </row>
    <row r="77" ht="15.0" customHeight="1">
      <c r="A77" s="34" t="s">
        <v>594</v>
      </c>
      <c r="B77" s="41">
        <f>'2_Định giá'!B27</f>
        <v>0</v>
      </c>
      <c r="C77" s="73">
        <f>IFERROR(1-C72/('2_Định giá'!D17*'3_Giả định'!C5),"")</f>
        <v>-0.5674621516</v>
      </c>
      <c r="D77" s="41">
        <f>IFERROR(C77-B77,"")</f>
        <v>-0.5674621516</v>
      </c>
      <c r="E77" s="103" t="s">
        <v>595</v>
      </c>
      <c r="F77" s="54"/>
      <c r="G77" s="54"/>
      <c r="H77" s="55"/>
      <c r="I77" s="3"/>
      <c r="J77" s="3"/>
      <c r="K77" s="3"/>
      <c r="L77" s="3"/>
      <c r="M77" s="3"/>
      <c r="N77" s="3"/>
      <c r="O77" s="3"/>
      <c r="P77" s="3"/>
      <c r="Q77" s="3"/>
      <c r="R77" s="3"/>
      <c r="S77" s="3"/>
      <c r="T77" s="3"/>
      <c r="U77" s="3"/>
      <c r="V77" s="3"/>
      <c r="W77" s="3"/>
      <c r="X77" s="3"/>
      <c r="Y77" s="3"/>
      <c r="Z77" s="3"/>
    </row>
    <row r="78" ht="15.0" customHeight="1">
      <c r="A78" s="107"/>
      <c r="B78" s="3"/>
      <c r="C78" s="3"/>
      <c r="D78" s="3"/>
      <c r="E78" s="3"/>
      <c r="F78" s="3"/>
      <c r="G78" s="3"/>
      <c r="H78" s="3"/>
      <c r="I78" s="3"/>
      <c r="J78" s="3"/>
      <c r="K78" s="3"/>
      <c r="L78" s="3"/>
      <c r="M78" s="3"/>
      <c r="N78" s="3"/>
      <c r="O78" s="3"/>
      <c r="P78" s="3"/>
      <c r="Q78" s="3"/>
      <c r="R78" s="3"/>
      <c r="S78" s="3"/>
      <c r="T78" s="3"/>
      <c r="U78" s="3"/>
      <c r="V78" s="3"/>
      <c r="W78" s="3"/>
      <c r="X78" s="3"/>
      <c r="Y78" s="3"/>
      <c r="Z78" s="3"/>
    </row>
    <row r="79" ht="15.0" hidden="1" customHeight="1" outlineLevel="1">
      <c r="A79" s="107" t="s">
        <v>596</v>
      </c>
      <c r="B79" s="107" t="s">
        <v>597</v>
      </c>
      <c r="C79" s="107" t="s">
        <v>598</v>
      </c>
      <c r="D79" s="107" t="s">
        <v>599</v>
      </c>
      <c r="E79" s="107" t="s">
        <v>600</v>
      </c>
      <c r="F79" s="107" t="s">
        <v>601</v>
      </c>
      <c r="G79" s="107" t="s">
        <v>602</v>
      </c>
      <c r="H79" s="107" t="s">
        <v>495</v>
      </c>
      <c r="I79" s="107" t="s">
        <v>603</v>
      </c>
      <c r="J79" s="107" t="s">
        <v>604</v>
      </c>
      <c r="K79" s="107" t="s">
        <v>605</v>
      </c>
      <c r="L79" s="3"/>
      <c r="M79" s="3"/>
      <c r="N79" s="3"/>
      <c r="O79" s="3"/>
      <c r="P79" s="3"/>
      <c r="Q79" s="3"/>
      <c r="R79" s="3"/>
      <c r="S79" s="3"/>
      <c r="T79" s="3"/>
      <c r="U79" s="3"/>
      <c r="V79" s="3"/>
      <c r="W79" s="3"/>
      <c r="X79" s="3"/>
      <c r="Y79" s="3"/>
      <c r="Z79" s="3"/>
    </row>
    <row r="80" ht="15.0" hidden="1" customHeight="1" outlineLevel="1">
      <c r="A80" s="107" t="s">
        <v>606</v>
      </c>
      <c r="B80" s="108">
        <f>'3_Giả định'!$C$17</f>
        <v>139500</v>
      </c>
      <c r="C80" s="108">
        <f>'3_Giả định'!$C$18</f>
        <v>14699.65984</v>
      </c>
      <c r="D80" s="109">
        <f>'3_Giả định'!$C$7</f>
        <v>300</v>
      </c>
      <c r="E80" s="110">
        <f>'3_Giả định'!$C$8</f>
        <v>0.08</v>
      </c>
      <c r="F80" s="110">
        <f>'3_Giả định'!$C$9</f>
        <v>0.15</v>
      </c>
      <c r="G80" s="108">
        <f>'3_Giả định'!$C$10</f>
        <v>700000</v>
      </c>
      <c r="H80" s="108">
        <f>'3_Giả định'!$C$11</f>
        <v>120000000</v>
      </c>
      <c r="I80" s="108">
        <f>'3_Giả định'!$C$12</f>
        <v>400000000</v>
      </c>
      <c r="J80" s="108">
        <f>'3_Giả định'!$C$13</f>
        <v>1500000000</v>
      </c>
      <c r="K80" s="110">
        <f>'3_Giả định'!$C$14</f>
        <v>0.15</v>
      </c>
      <c r="L80" s="3"/>
      <c r="M80" s="3"/>
      <c r="N80" s="3"/>
      <c r="O80" s="3"/>
      <c r="P80" s="3"/>
      <c r="Q80" s="3"/>
      <c r="R80" s="3"/>
      <c r="S80" s="3"/>
      <c r="T80" s="3"/>
      <c r="U80" s="3"/>
      <c r="V80" s="3"/>
      <c r="W80" s="3"/>
      <c r="X80" s="3"/>
      <c r="Y80" s="3"/>
      <c r="Z80" s="3"/>
    </row>
    <row r="81" ht="15.0" hidden="1" customHeight="1" outlineLevel="1">
      <c r="A81" s="107" t="s">
        <v>607</v>
      </c>
      <c r="B81" s="108">
        <f>'3_Giả định'!$C$17*(1-$B$54)</f>
        <v>111600</v>
      </c>
      <c r="C81" s="108">
        <f>'3_Giả định'!$C$18</f>
        <v>14699.65984</v>
      </c>
      <c r="D81" s="109">
        <f>'3_Giả định'!$C$7</f>
        <v>300</v>
      </c>
      <c r="E81" s="110">
        <f>'3_Giả định'!$C$8</f>
        <v>0.08</v>
      </c>
      <c r="F81" s="110">
        <f>'3_Giả định'!$C$9</f>
        <v>0.15</v>
      </c>
      <c r="G81" s="108">
        <f>'3_Giả định'!$C$10</f>
        <v>700000</v>
      </c>
      <c r="H81" s="108">
        <f>'3_Giả định'!$C$11</f>
        <v>120000000</v>
      </c>
      <c r="I81" s="108">
        <f>'3_Giả định'!$C$12</f>
        <v>400000000</v>
      </c>
      <c r="J81" s="108">
        <f>'3_Giả định'!$C$13</f>
        <v>1500000000</v>
      </c>
      <c r="K81" s="110">
        <f>'3_Giả định'!$C$14</f>
        <v>0.15</v>
      </c>
      <c r="L81" s="3"/>
      <c r="M81" s="3"/>
      <c r="N81" s="3"/>
      <c r="O81" s="3"/>
      <c r="P81" s="3"/>
      <c r="Q81" s="3"/>
      <c r="R81" s="3"/>
      <c r="S81" s="3"/>
      <c r="T81" s="3"/>
      <c r="U81" s="3"/>
      <c r="V81" s="3"/>
      <c r="W81" s="3"/>
      <c r="X81" s="3"/>
      <c r="Y81" s="3"/>
      <c r="Z81" s="3"/>
    </row>
    <row r="82" ht="15.0" hidden="1" customHeight="1" outlineLevel="1">
      <c r="A82" s="107" t="s">
        <v>608</v>
      </c>
      <c r="B82" s="108">
        <f>'3_Giả định'!$C$17</f>
        <v>139500</v>
      </c>
      <c r="C82" s="108">
        <f>'3_Giả định'!$C$18*(1+$B$54)</f>
        <v>17639.59181</v>
      </c>
      <c r="D82" s="109">
        <f>'3_Giả định'!$C$7</f>
        <v>300</v>
      </c>
      <c r="E82" s="110">
        <f>'3_Giả định'!$C$8</f>
        <v>0.08</v>
      </c>
      <c r="F82" s="110">
        <f>'3_Giả định'!$C$9</f>
        <v>0.15</v>
      </c>
      <c r="G82" s="108">
        <f>'3_Giả định'!$C$10</f>
        <v>700000</v>
      </c>
      <c r="H82" s="108">
        <f>'3_Giả định'!$C$11</f>
        <v>120000000</v>
      </c>
      <c r="I82" s="108">
        <f>'3_Giả định'!$C$12</f>
        <v>400000000</v>
      </c>
      <c r="J82" s="108">
        <f>'3_Giả định'!$C$13</f>
        <v>1500000000</v>
      </c>
      <c r="K82" s="110">
        <f>'3_Giả định'!$C$14</f>
        <v>0.15</v>
      </c>
      <c r="L82" s="3"/>
      <c r="M82" s="3"/>
      <c r="N82" s="3"/>
      <c r="O82" s="3"/>
      <c r="P82" s="3"/>
      <c r="Q82" s="3"/>
      <c r="R82" s="3"/>
      <c r="S82" s="3"/>
      <c r="T82" s="3"/>
      <c r="U82" s="3"/>
      <c r="V82" s="3"/>
      <c r="W82" s="3"/>
      <c r="X82" s="3"/>
      <c r="Y82" s="3"/>
      <c r="Z82" s="3"/>
    </row>
    <row r="83" ht="15.0" hidden="1" customHeight="1" outlineLevel="1">
      <c r="A83" s="107" t="s">
        <v>609</v>
      </c>
      <c r="B83" s="108">
        <f>'3_Giả định'!$C$17</f>
        <v>139500</v>
      </c>
      <c r="C83" s="108">
        <f>'3_Giả định'!$C$18</f>
        <v>14699.65984</v>
      </c>
      <c r="D83" s="109">
        <f>'3_Giả định'!$C$7</f>
        <v>300</v>
      </c>
      <c r="E83" s="110">
        <f>'3_Giả định'!$C$8</f>
        <v>0.08</v>
      </c>
      <c r="F83" s="110">
        <f>'3_Giả định'!$C$9*(1+$B$54)</f>
        <v>0.18</v>
      </c>
      <c r="G83" s="108">
        <f>'3_Giả định'!$C$10</f>
        <v>700000</v>
      </c>
      <c r="H83" s="108">
        <f>'3_Giả định'!$C$11</f>
        <v>120000000</v>
      </c>
      <c r="I83" s="108">
        <f>'3_Giả định'!$C$12</f>
        <v>400000000</v>
      </c>
      <c r="J83" s="108">
        <f>'3_Giả định'!$C$13</f>
        <v>1500000000</v>
      </c>
      <c r="K83" s="110">
        <f>'3_Giả định'!$C$14</f>
        <v>0.15</v>
      </c>
      <c r="L83" s="3"/>
      <c r="M83" s="3"/>
      <c r="N83" s="3"/>
      <c r="O83" s="3"/>
      <c r="P83" s="3"/>
      <c r="Q83" s="3"/>
      <c r="R83" s="3"/>
      <c r="S83" s="3"/>
      <c r="T83" s="3"/>
      <c r="U83" s="3"/>
      <c r="V83" s="3"/>
      <c r="W83" s="3"/>
      <c r="X83" s="3"/>
      <c r="Y83" s="3"/>
      <c r="Z83" s="3"/>
    </row>
    <row r="84" ht="15.0" hidden="1" customHeight="1" outlineLevel="1">
      <c r="A84" s="107" t="s">
        <v>610</v>
      </c>
      <c r="B84" s="108">
        <f>'3_Giả định'!$C$17</f>
        <v>139500</v>
      </c>
      <c r="C84" s="108">
        <f>'3_Giả định'!$C$18</f>
        <v>14699.65984</v>
      </c>
      <c r="D84" s="109">
        <f>'3_Giả định'!$C$7</f>
        <v>300</v>
      </c>
      <c r="E84" s="110">
        <f>'3_Giả định'!$C$8</f>
        <v>0.08</v>
      </c>
      <c r="F84" s="110">
        <f>'3_Giả định'!$C$9</f>
        <v>0.15</v>
      </c>
      <c r="G84" s="108">
        <f>'3_Giả định'!$C$10*(1+$B$54)</f>
        <v>840000</v>
      </c>
      <c r="H84" s="108">
        <f>'3_Giả định'!$C$11</f>
        <v>120000000</v>
      </c>
      <c r="I84" s="108">
        <f>'3_Giả định'!$C$12</f>
        <v>400000000</v>
      </c>
      <c r="J84" s="108">
        <f>'3_Giả định'!$C$13</f>
        <v>1500000000</v>
      </c>
      <c r="K84" s="110">
        <f>'3_Giả định'!$C$14</f>
        <v>0.15</v>
      </c>
      <c r="L84" s="3"/>
      <c r="M84" s="3"/>
      <c r="N84" s="3"/>
      <c r="O84" s="3"/>
      <c r="P84" s="3"/>
      <c r="Q84" s="3"/>
      <c r="R84" s="3"/>
      <c r="S84" s="3"/>
      <c r="T84" s="3"/>
      <c r="U84" s="3"/>
      <c r="V84" s="3"/>
      <c r="W84" s="3"/>
      <c r="X84" s="3"/>
      <c r="Y84" s="3"/>
      <c r="Z84" s="3"/>
    </row>
    <row r="85" ht="15.0" hidden="1" customHeight="1" outlineLevel="1">
      <c r="A85" s="107" t="s">
        <v>611</v>
      </c>
      <c r="B85" s="108">
        <f>'3_Giả định'!$C$17</f>
        <v>139500</v>
      </c>
      <c r="C85" s="108">
        <f>'3_Giả định'!$C$18</f>
        <v>14699.65984</v>
      </c>
      <c r="D85" s="109">
        <f>'3_Giả định'!$C$7*(1-$B$54)</f>
        <v>240</v>
      </c>
      <c r="E85" s="110">
        <f>'3_Giả định'!$C$8</f>
        <v>0.08</v>
      </c>
      <c r="F85" s="110">
        <f>'3_Giả định'!$C$9</f>
        <v>0.15</v>
      </c>
      <c r="G85" s="108">
        <f>'3_Giả định'!$C$10</f>
        <v>700000</v>
      </c>
      <c r="H85" s="108">
        <f>'3_Giả định'!$C$11</f>
        <v>120000000</v>
      </c>
      <c r="I85" s="108">
        <f>'3_Giả định'!$C$12</f>
        <v>400000000</v>
      </c>
      <c r="J85" s="108">
        <f>'3_Giả định'!$C$13</f>
        <v>1500000000</v>
      </c>
      <c r="K85" s="110">
        <f>'3_Giả định'!$C$14</f>
        <v>0.15</v>
      </c>
      <c r="L85" s="3"/>
      <c r="M85" s="3"/>
      <c r="N85" s="3"/>
      <c r="O85" s="3"/>
      <c r="P85" s="3"/>
      <c r="Q85" s="3"/>
      <c r="R85" s="3"/>
      <c r="S85" s="3"/>
      <c r="T85" s="3"/>
      <c r="U85" s="3"/>
      <c r="V85" s="3"/>
      <c r="W85" s="3"/>
      <c r="X85" s="3"/>
      <c r="Y85" s="3"/>
      <c r="Z85" s="3"/>
    </row>
    <row r="86" ht="15.0" hidden="1" customHeight="1" outlineLevel="1">
      <c r="A86" s="107" t="s">
        <v>612</v>
      </c>
      <c r="B86" s="108">
        <f>'3_Giả định'!$C$17</f>
        <v>139500</v>
      </c>
      <c r="C86" s="108">
        <f>'3_Giả định'!$C$18</f>
        <v>14699.65984</v>
      </c>
      <c r="D86" s="109">
        <f>'3_Giả định'!$C$7</f>
        <v>300</v>
      </c>
      <c r="E86" s="110">
        <f>'3_Giả định'!$C$8*(1-$B$54)</f>
        <v>0.064</v>
      </c>
      <c r="F86" s="110">
        <f>'3_Giả định'!$C$9</f>
        <v>0.15</v>
      </c>
      <c r="G86" s="108">
        <f>'3_Giả định'!$C$10</f>
        <v>700000</v>
      </c>
      <c r="H86" s="108">
        <f>'3_Giả định'!$C$11</f>
        <v>120000000</v>
      </c>
      <c r="I86" s="108">
        <f>'3_Giả định'!$C$12</f>
        <v>400000000</v>
      </c>
      <c r="J86" s="108">
        <f>'3_Giả định'!$C$13</f>
        <v>1500000000</v>
      </c>
      <c r="K86" s="110">
        <f>'3_Giả định'!$C$14</f>
        <v>0.15</v>
      </c>
      <c r="L86" s="3"/>
      <c r="M86" s="3"/>
      <c r="N86" s="3"/>
      <c r="O86" s="3"/>
      <c r="P86" s="3"/>
      <c r="Q86" s="3"/>
      <c r="R86" s="3"/>
      <c r="S86" s="3"/>
      <c r="T86" s="3"/>
      <c r="U86" s="3"/>
      <c r="V86" s="3"/>
      <c r="W86" s="3"/>
      <c r="X86" s="3"/>
      <c r="Y86" s="3"/>
      <c r="Z86" s="3"/>
    </row>
    <row r="87" ht="15.0" hidden="1" customHeight="1" outlineLevel="1">
      <c r="A87" s="107" t="s">
        <v>613</v>
      </c>
      <c r="B87" s="108">
        <f>'3_Giả định'!$C$17</f>
        <v>139500</v>
      </c>
      <c r="C87" s="108">
        <f>'3_Giả định'!$C$18</f>
        <v>14699.65984</v>
      </c>
      <c r="D87" s="109">
        <f>'3_Giả định'!$C$7</f>
        <v>300</v>
      </c>
      <c r="E87" s="110">
        <f>'3_Giả định'!$C$8</f>
        <v>0.08</v>
      </c>
      <c r="F87" s="110">
        <f>'3_Giả định'!$C$9</f>
        <v>0.15</v>
      </c>
      <c r="G87" s="108">
        <f>'3_Giả định'!$C$10</f>
        <v>700000</v>
      </c>
      <c r="H87" s="108">
        <f>'3_Giả định'!$C$11*(1+$B$54)</f>
        <v>144000000</v>
      </c>
      <c r="I87" s="108">
        <f>'3_Giả định'!$C$12</f>
        <v>400000000</v>
      </c>
      <c r="J87" s="108">
        <f>'3_Giả định'!$C$13</f>
        <v>1500000000</v>
      </c>
      <c r="K87" s="110">
        <f>'3_Giả định'!$C$14</f>
        <v>0.15</v>
      </c>
      <c r="L87" s="3"/>
      <c r="M87" s="3"/>
      <c r="N87" s="3"/>
      <c r="O87" s="3"/>
      <c r="P87" s="3"/>
      <c r="Q87" s="3"/>
      <c r="R87" s="3"/>
      <c r="S87" s="3"/>
      <c r="T87" s="3"/>
      <c r="U87" s="3"/>
      <c r="V87" s="3"/>
      <c r="W87" s="3"/>
      <c r="X87" s="3"/>
      <c r="Y87" s="3"/>
      <c r="Z87" s="3"/>
    </row>
    <row r="88" ht="15.0" hidden="1" customHeight="1" outlineLevel="1">
      <c r="A88" s="107" t="s">
        <v>614</v>
      </c>
      <c r="B88" s="108">
        <f>'2_Định giá'!$D$15*'3_Giả định'!$C$5*(1-'2_Định giá'!$B$27)</f>
        <v>99000</v>
      </c>
      <c r="C88" s="108">
        <f>'2_Định giá'!$E$15*'3_Giả định'!$C$6</f>
        <v>6255.1744</v>
      </c>
      <c r="D88" s="109">
        <f>'3_Giả định'!$C$7</f>
        <v>300</v>
      </c>
      <c r="E88" s="110">
        <f>'3_Giả định'!$C$8</f>
        <v>0.08</v>
      </c>
      <c r="F88" s="110">
        <f>'3_Giả định'!$C$9</f>
        <v>0.15</v>
      </c>
      <c r="G88" s="108">
        <f>'3_Giả định'!$C$10</f>
        <v>700000</v>
      </c>
      <c r="H88" s="108">
        <f>'3_Giả định'!$C$11</f>
        <v>120000000</v>
      </c>
      <c r="I88" s="108">
        <f>'3_Giả định'!$C$12</f>
        <v>400000000</v>
      </c>
      <c r="J88" s="108">
        <f>'3_Giả định'!$C$13</f>
        <v>1500000000</v>
      </c>
      <c r="K88" s="110">
        <f>'3_Giả định'!$C$14</f>
        <v>0.15</v>
      </c>
      <c r="L88" s="3"/>
      <c r="M88" s="3"/>
      <c r="N88" s="3"/>
      <c r="O88" s="3"/>
      <c r="P88" s="3"/>
      <c r="Q88" s="3"/>
      <c r="R88" s="3"/>
      <c r="S88" s="3"/>
      <c r="T88" s="3"/>
      <c r="U88" s="3"/>
      <c r="V88" s="3"/>
      <c r="W88" s="3"/>
      <c r="X88" s="3"/>
      <c r="Y88" s="3"/>
      <c r="Z88" s="3"/>
    </row>
    <row r="89" ht="15.0" hidden="1" customHeight="1" outlineLevel="1">
      <c r="A89" s="3"/>
      <c r="B89" s="3"/>
      <c r="C89" s="3"/>
      <c r="D89" s="3"/>
      <c r="E89" s="3"/>
      <c r="F89" s="3"/>
      <c r="G89" s="3"/>
      <c r="H89" s="3"/>
      <c r="I89" s="3"/>
      <c r="J89" s="3"/>
      <c r="K89" s="3"/>
      <c r="L89" s="3"/>
      <c r="M89" s="3"/>
      <c r="N89" s="3"/>
      <c r="O89" s="3"/>
      <c r="P89" s="3"/>
      <c r="Q89" s="3"/>
      <c r="R89" s="3"/>
      <c r="S89" s="3"/>
      <c r="T89" s="3"/>
      <c r="U89" s="3"/>
      <c r="V89" s="3"/>
      <c r="W89" s="3"/>
      <c r="X89" s="3"/>
      <c r="Y89" s="3"/>
      <c r="Z89" s="3"/>
    </row>
    <row r="90" ht="15.0" hidden="1" customHeight="1" outlineLevel="1">
      <c r="A90" s="3"/>
      <c r="B90" s="3"/>
      <c r="C90" s="3"/>
      <c r="D90" s="3"/>
      <c r="E90" s="3"/>
      <c r="F90" s="3"/>
      <c r="G90" s="3"/>
      <c r="H90" s="3"/>
      <c r="I90" s="3"/>
      <c r="J90" s="3"/>
      <c r="K90" s="3"/>
      <c r="L90" s="3"/>
      <c r="M90" s="3"/>
      <c r="N90" s="3"/>
      <c r="O90" s="3"/>
      <c r="P90" s="3"/>
      <c r="Q90" s="3"/>
      <c r="R90" s="3"/>
      <c r="S90" s="3"/>
      <c r="T90" s="3"/>
      <c r="U90" s="3"/>
      <c r="V90" s="3"/>
      <c r="W90" s="3"/>
      <c r="X90" s="3"/>
      <c r="Y90" s="3"/>
      <c r="Z90" s="3"/>
    </row>
    <row r="91" ht="15.0" hidden="1" customHeight="1" outlineLevel="1">
      <c r="A91" s="3"/>
      <c r="B91" s="3"/>
      <c r="C91" s="3"/>
      <c r="D91" s="3"/>
      <c r="E91" s="3"/>
      <c r="F91" s="3"/>
      <c r="G91" s="3"/>
      <c r="H91" s="3"/>
      <c r="I91" s="3"/>
      <c r="J91" s="3"/>
      <c r="K91" s="3"/>
      <c r="L91" s="3"/>
      <c r="M91" s="3"/>
      <c r="N91" s="3"/>
      <c r="O91" s="3"/>
      <c r="P91" s="3"/>
      <c r="Q91" s="3"/>
      <c r="R91" s="3"/>
      <c r="S91" s="3"/>
      <c r="T91" s="3"/>
      <c r="U91" s="3"/>
      <c r="V91" s="3"/>
      <c r="W91" s="3"/>
      <c r="X91" s="3"/>
      <c r="Y91" s="3"/>
      <c r="Z91" s="3"/>
    </row>
    <row r="92" ht="15.0" hidden="1" customHeight="1" outlineLevel="1">
      <c r="A92" s="107" t="s">
        <v>615</v>
      </c>
      <c r="B92" s="3"/>
      <c r="C92" s="109">
        <f>$D$80*(1+$E$80)^0</f>
        <v>300</v>
      </c>
      <c r="D92" s="109">
        <f>$D$80*(1+$E$80)^1</f>
        <v>324</v>
      </c>
      <c r="E92" s="109">
        <f>$D$80*(1+$E$80)^2</f>
        <v>349.92</v>
      </c>
      <c r="F92" s="109">
        <f>$D$80*(1+$E$80)^3</f>
        <v>377.9136</v>
      </c>
      <c r="G92" s="109">
        <f>$D$80*(1+$E$80)^4</f>
        <v>408.146688</v>
      </c>
      <c r="H92" s="109">
        <f>$D$80*(1+$E$80)^5</f>
        <v>440.798423</v>
      </c>
      <c r="I92" s="109">
        <f>$D$80*(1+$E$80)^6</f>
        <v>476.0622969</v>
      </c>
      <c r="J92" s="109">
        <f>$D$80*(1+$E$80)^7</f>
        <v>514.1472806</v>
      </c>
      <c r="K92" s="109">
        <f>$D$80*(1+$E$80)^8</f>
        <v>555.2790631</v>
      </c>
      <c r="L92" s="109">
        <f>$D$80*(1+$E$80)^9</f>
        <v>599.7013881</v>
      </c>
      <c r="M92" s="109">
        <f>$D$80*(1+$E$80)^10</f>
        <v>647.6774992</v>
      </c>
      <c r="N92" s="109">
        <f>$D$80*(1+$E$80)^11</f>
        <v>699.4916991</v>
      </c>
      <c r="O92" s="109">
        <f>$D$80*(1+$E$80)^12</f>
        <v>755.451035</v>
      </c>
      <c r="P92" s="109">
        <f>$D$80*(1+$E$80)^13</f>
        <v>815.8871178</v>
      </c>
      <c r="Q92" s="109">
        <f>$D$80*(1+$E$80)^14</f>
        <v>881.1580873</v>
      </c>
      <c r="R92" s="109">
        <f>$D$80*(1+$E$80)^15</f>
        <v>951.6507343</v>
      </c>
      <c r="S92" s="109">
        <f>$D$80*(1+$E$80)^16</f>
        <v>1027.782793</v>
      </c>
      <c r="T92" s="109">
        <f>$D$80*(1+$E$80)^17</f>
        <v>1110.005416</v>
      </c>
      <c r="U92" s="109">
        <f>$D$80*(1+$E$80)^18</f>
        <v>1198.80585</v>
      </c>
      <c r="V92" s="109">
        <f>$D$80*(1+$E$80)^19</f>
        <v>1294.710318</v>
      </c>
      <c r="W92" s="109">
        <f>$D$80*(1+$E$80)^20</f>
        <v>1398.287143</v>
      </c>
      <c r="X92" s="109">
        <f>$D$80*(1+$E$80)^21</f>
        <v>1510.150115</v>
      </c>
      <c r="Y92" s="109">
        <f>$D$80*(1+$E$80)^22</f>
        <v>1630.962124</v>
      </c>
      <c r="Z92" s="109">
        <f>$D$80*(1+$E$80)^23</f>
        <v>1761.439094</v>
      </c>
    </row>
    <row r="93" ht="15.0" hidden="1" customHeight="1" outlineLevel="1">
      <c r="A93" s="107" t="s">
        <v>616</v>
      </c>
      <c r="B93" s="107">
        <v>0.0</v>
      </c>
      <c r="C93" s="109">
        <f t="shared" ref="C93:Z93" si="19">B93*(1-$F$80)+C92</f>
        <v>300</v>
      </c>
      <c r="D93" s="109">
        <f t="shared" si="19"/>
        <v>579</v>
      </c>
      <c r="E93" s="109">
        <f t="shared" si="19"/>
        <v>842.07</v>
      </c>
      <c r="F93" s="109">
        <f t="shared" si="19"/>
        <v>1093.6731</v>
      </c>
      <c r="G93" s="109">
        <f t="shared" si="19"/>
        <v>1337.768823</v>
      </c>
      <c r="H93" s="109">
        <f t="shared" si="19"/>
        <v>1577.901923</v>
      </c>
      <c r="I93" s="109">
        <f t="shared" si="19"/>
        <v>1817.278931</v>
      </c>
      <c r="J93" s="109">
        <f t="shared" si="19"/>
        <v>2058.834372</v>
      </c>
      <c r="K93" s="109">
        <f t="shared" si="19"/>
        <v>2305.288279</v>
      </c>
      <c r="L93" s="109">
        <f t="shared" si="19"/>
        <v>2559.196426</v>
      </c>
      <c r="M93" s="109">
        <f t="shared" si="19"/>
        <v>2822.994461</v>
      </c>
      <c r="N93" s="109">
        <f t="shared" si="19"/>
        <v>3099.036991</v>
      </c>
      <c r="O93" s="109">
        <f t="shared" si="19"/>
        <v>3389.632477</v>
      </c>
      <c r="P93" s="109">
        <f t="shared" si="19"/>
        <v>3697.074724</v>
      </c>
      <c r="Q93" s="109">
        <f t="shared" si="19"/>
        <v>4023.671602</v>
      </c>
      <c r="R93" s="109">
        <f t="shared" si="19"/>
        <v>4371.771596</v>
      </c>
      <c r="S93" s="109">
        <f t="shared" si="19"/>
        <v>4743.78865</v>
      </c>
      <c r="T93" s="109">
        <f t="shared" si="19"/>
        <v>5142.225769</v>
      </c>
      <c r="U93" s="109">
        <f t="shared" si="19"/>
        <v>5569.697753</v>
      </c>
      <c r="V93" s="109">
        <f t="shared" si="19"/>
        <v>6028.953408</v>
      </c>
      <c r="W93" s="109">
        <f t="shared" si="19"/>
        <v>6522.89754</v>
      </c>
      <c r="X93" s="109">
        <f t="shared" si="19"/>
        <v>7054.613024</v>
      </c>
      <c r="Y93" s="109">
        <f t="shared" si="19"/>
        <v>7627.383194</v>
      </c>
      <c r="Z93" s="109">
        <f t="shared" si="19"/>
        <v>8244.714808</v>
      </c>
    </row>
    <row r="94" ht="15.0" hidden="1" customHeight="1" outlineLevel="1">
      <c r="A94" s="107" t="s">
        <v>617</v>
      </c>
      <c r="B94" s="108">
        <f>-$I$80</f>
        <v>-400000000</v>
      </c>
      <c r="C94" s="108">
        <f t="shared" ref="C94:Z94" si="20">C93*($B$80-$C$80)-C92*$G$80-$H$80</f>
        <v>-292559898</v>
      </c>
      <c r="D94" s="108">
        <f t="shared" si="20"/>
        <v>-274540603</v>
      </c>
      <c r="E94" s="108">
        <f t="shared" si="20"/>
        <v>-259853377.6</v>
      </c>
      <c r="F94" s="108">
        <f t="shared" si="20"/>
        <v>-248048745.1</v>
      </c>
      <c r="G94" s="108">
        <f t="shared" si="20"/>
        <v>-238748677.4</v>
      </c>
      <c r="H94" s="108">
        <f t="shared" si="20"/>
        <v>-231636199.4</v>
      </c>
      <c r="I94" s="108">
        <f t="shared" si="20"/>
        <v>-226446579.1</v>
      </c>
      <c r="J94" s="108">
        <f t="shared" si="20"/>
        <v>-222959866.5</v>
      </c>
      <c r="K94" s="108">
        <f t="shared" si="20"/>
        <v>-220994582.7</v>
      </c>
      <c r="L94" s="108">
        <f t="shared" si="20"/>
        <v>-220402387.2</v>
      </c>
      <c r="M94" s="108">
        <f t="shared" si="20"/>
        <v>-221063580.4</v>
      </c>
      <c r="N94" s="108">
        <f t="shared" si="20"/>
        <v>-222883318.7</v>
      </c>
      <c r="O94" s="108">
        <f t="shared" si="20"/>
        <v>-225788438.3</v>
      </c>
      <c r="P94" s="108">
        <f t="shared" si="20"/>
        <v>-229724799.4</v>
      </c>
      <c r="Q94" s="108">
        <f t="shared" si="20"/>
        <v>-234655076.4</v>
      </c>
      <c r="R94" s="108">
        <f t="shared" si="20"/>
        <v>-240556931.7</v>
      </c>
      <c r="S94" s="108">
        <f t="shared" si="20"/>
        <v>-247421518</v>
      </c>
      <c r="T94" s="108">
        <f t="shared" si="20"/>
        <v>-255252266.4</v>
      </c>
      <c r="U94" s="108">
        <f t="shared" si="20"/>
        <v>-264063920.6</v>
      </c>
      <c r="V94" s="108">
        <f t="shared" si="20"/>
        <v>-273881786.3</v>
      </c>
      <c r="W94" s="108">
        <f t="shared" si="20"/>
        <v>-284741168.4</v>
      </c>
      <c r="X94" s="108">
        <f t="shared" si="20"/>
        <v>-296686975.2</v>
      </c>
      <c r="Y94" s="108">
        <f t="shared" si="20"/>
        <v>-309773469.5</v>
      </c>
      <c r="Z94" s="108">
        <f t="shared" si="20"/>
        <v>-324064153</v>
      </c>
    </row>
    <row r="95" ht="15.0" hidden="1" customHeight="1" outlineLevel="1">
      <c r="A95" s="107" t="s">
        <v>618</v>
      </c>
      <c r="B95" s="108">
        <f>$J$80+B94</f>
        <v>1100000000</v>
      </c>
      <c r="C95" s="108">
        <f t="shared" ref="C95:Z95" si="21">B95+C94</f>
        <v>807440102</v>
      </c>
      <c r="D95" s="108">
        <f t="shared" si="21"/>
        <v>532899499</v>
      </c>
      <c r="E95" s="108">
        <f t="shared" si="21"/>
        <v>273046121.4</v>
      </c>
      <c r="F95" s="108">
        <f t="shared" si="21"/>
        <v>24997376.34</v>
      </c>
      <c r="G95" s="108">
        <f t="shared" si="21"/>
        <v>-213751301.1</v>
      </c>
      <c r="H95" s="108">
        <f t="shared" si="21"/>
        <v>-445387500.5</v>
      </c>
      <c r="I95" s="108">
        <f t="shared" si="21"/>
        <v>-671834079.6</v>
      </c>
      <c r="J95" s="108">
        <f t="shared" si="21"/>
        <v>-894793946.1</v>
      </c>
      <c r="K95" s="108">
        <f t="shared" si="21"/>
        <v>-1115788529</v>
      </c>
      <c r="L95" s="108">
        <f t="shared" si="21"/>
        <v>-1336190916</v>
      </c>
      <c r="M95" s="108">
        <f t="shared" si="21"/>
        <v>-1557254496</v>
      </c>
      <c r="N95" s="108">
        <f t="shared" si="21"/>
        <v>-1780137815</v>
      </c>
      <c r="O95" s="108">
        <f t="shared" si="21"/>
        <v>-2005926254</v>
      </c>
      <c r="P95" s="108">
        <f t="shared" si="21"/>
        <v>-2235651053</v>
      </c>
      <c r="Q95" s="108">
        <f t="shared" si="21"/>
        <v>-2470306129</v>
      </c>
      <c r="R95" s="108">
        <f t="shared" si="21"/>
        <v>-2710863061</v>
      </c>
      <c r="S95" s="108">
        <f t="shared" si="21"/>
        <v>-2958284579</v>
      </c>
      <c r="T95" s="108">
        <f t="shared" si="21"/>
        <v>-3213536845</v>
      </c>
      <c r="U95" s="108">
        <f t="shared" si="21"/>
        <v>-3477600766</v>
      </c>
      <c r="V95" s="108">
        <f t="shared" si="21"/>
        <v>-3751482552</v>
      </c>
      <c r="W95" s="108">
        <f t="shared" si="21"/>
        <v>-4036223721</v>
      </c>
      <c r="X95" s="108">
        <f t="shared" si="21"/>
        <v>-4332910696</v>
      </c>
      <c r="Y95" s="108">
        <f t="shared" si="21"/>
        <v>-4642684165</v>
      </c>
      <c r="Z95" s="108">
        <f t="shared" si="21"/>
        <v>-4966748318</v>
      </c>
    </row>
    <row r="96" ht="15.0" hidden="1" customHeight="1" outlineLevel="1">
      <c r="A96" s="107" t="s">
        <v>619</v>
      </c>
      <c r="B96" s="108">
        <f>B94</f>
        <v>-400000000</v>
      </c>
      <c r="C96" s="108">
        <f t="shared" ref="C96:Z96" si="22">B96+C94</f>
        <v>-692559898</v>
      </c>
      <c r="D96" s="108">
        <f t="shared" si="22"/>
        <v>-967100501</v>
      </c>
      <c r="E96" s="108">
        <f t="shared" si="22"/>
        <v>-1226953879</v>
      </c>
      <c r="F96" s="108">
        <f t="shared" si="22"/>
        <v>-1475002624</v>
      </c>
      <c r="G96" s="108">
        <f t="shared" si="22"/>
        <v>-1713751301</v>
      </c>
      <c r="H96" s="108">
        <f t="shared" si="22"/>
        <v>-1945387501</v>
      </c>
      <c r="I96" s="108">
        <f t="shared" si="22"/>
        <v>-2171834080</v>
      </c>
      <c r="J96" s="108">
        <f t="shared" si="22"/>
        <v>-2394793946</v>
      </c>
      <c r="K96" s="108">
        <f t="shared" si="22"/>
        <v>-2615788529</v>
      </c>
      <c r="L96" s="108">
        <f t="shared" si="22"/>
        <v>-2836190916</v>
      </c>
      <c r="M96" s="108">
        <f t="shared" si="22"/>
        <v>-3057254496</v>
      </c>
      <c r="N96" s="108">
        <f t="shared" si="22"/>
        <v>-3280137815</v>
      </c>
      <c r="O96" s="108">
        <f t="shared" si="22"/>
        <v>-3505926254</v>
      </c>
      <c r="P96" s="108">
        <f t="shared" si="22"/>
        <v>-3735651053</v>
      </c>
      <c r="Q96" s="108">
        <f t="shared" si="22"/>
        <v>-3970306129</v>
      </c>
      <c r="R96" s="108">
        <f t="shared" si="22"/>
        <v>-4210863061</v>
      </c>
      <c r="S96" s="108">
        <f t="shared" si="22"/>
        <v>-4458284579</v>
      </c>
      <c r="T96" s="108">
        <f t="shared" si="22"/>
        <v>-4713536845</v>
      </c>
      <c r="U96" s="108">
        <f t="shared" si="22"/>
        <v>-4977600766</v>
      </c>
      <c r="V96" s="108">
        <f t="shared" si="22"/>
        <v>-5251482552</v>
      </c>
      <c r="W96" s="108">
        <f t="shared" si="22"/>
        <v>-5536223721</v>
      </c>
      <c r="X96" s="108">
        <f t="shared" si="22"/>
        <v>-5832910696</v>
      </c>
      <c r="Y96" s="108">
        <f t="shared" si="22"/>
        <v>-6142684165</v>
      </c>
      <c r="Z96" s="108">
        <f t="shared" si="22"/>
        <v>-6466748318</v>
      </c>
    </row>
    <row r="97" ht="15.0" hidden="1" customHeight="1" outlineLevel="1">
      <c r="A97" s="3"/>
      <c r="B97" s="3"/>
      <c r="C97" s="3"/>
      <c r="D97" s="3"/>
      <c r="E97" s="3"/>
      <c r="F97" s="3"/>
      <c r="G97" s="3"/>
      <c r="H97" s="3"/>
      <c r="I97" s="3"/>
      <c r="J97" s="3"/>
      <c r="K97" s="3"/>
      <c r="L97" s="3"/>
      <c r="M97" s="3"/>
      <c r="N97" s="3"/>
      <c r="O97" s="3"/>
      <c r="P97" s="3"/>
      <c r="Q97" s="3"/>
      <c r="R97" s="3"/>
      <c r="S97" s="3"/>
      <c r="T97" s="3"/>
      <c r="U97" s="3"/>
      <c r="V97" s="3"/>
      <c r="W97" s="3"/>
      <c r="X97" s="3"/>
      <c r="Y97" s="3"/>
      <c r="Z97" s="3"/>
    </row>
    <row r="98" ht="15.0" hidden="1" customHeight="1" outlineLevel="1">
      <c r="A98" s="107" t="s">
        <v>620</v>
      </c>
      <c r="B98" s="3"/>
      <c r="C98" s="109">
        <f>$D$81*(1+$E$81)^0</f>
        <v>300</v>
      </c>
      <c r="D98" s="109">
        <f>$D$81*(1+$E$81)^1</f>
        <v>324</v>
      </c>
      <c r="E98" s="109">
        <f>$D$81*(1+$E$81)^2</f>
        <v>349.92</v>
      </c>
      <c r="F98" s="109">
        <f>$D$81*(1+$E$81)^3</f>
        <v>377.9136</v>
      </c>
      <c r="G98" s="109">
        <f>$D$81*(1+$E$81)^4</f>
        <v>408.146688</v>
      </c>
      <c r="H98" s="109">
        <f>$D$81*(1+$E$81)^5</f>
        <v>440.798423</v>
      </c>
      <c r="I98" s="109">
        <f>$D$81*(1+$E$81)^6</f>
        <v>476.0622969</v>
      </c>
      <c r="J98" s="109">
        <f>$D$81*(1+$E$81)^7</f>
        <v>514.1472806</v>
      </c>
      <c r="K98" s="109">
        <f>$D$81*(1+$E$81)^8</f>
        <v>555.2790631</v>
      </c>
      <c r="L98" s="109">
        <f>$D$81*(1+$E$81)^9</f>
        <v>599.7013881</v>
      </c>
      <c r="M98" s="109">
        <f>$D$81*(1+$E$81)^10</f>
        <v>647.6774992</v>
      </c>
      <c r="N98" s="109">
        <f>$D$81*(1+$E$81)^11</f>
        <v>699.4916991</v>
      </c>
      <c r="O98" s="109">
        <f>$D$81*(1+$E$81)^12</f>
        <v>755.451035</v>
      </c>
      <c r="P98" s="109">
        <f>$D$81*(1+$E$81)^13</f>
        <v>815.8871178</v>
      </c>
      <c r="Q98" s="109">
        <f>$D$81*(1+$E$81)^14</f>
        <v>881.1580873</v>
      </c>
      <c r="R98" s="109">
        <f>$D$81*(1+$E$81)^15</f>
        <v>951.6507343</v>
      </c>
      <c r="S98" s="109">
        <f>$D$81*(1+$E$81)^16</f>
        <v>1027.782793</v>
      </c>
      <c r="T98" s="109">
        <f>$D$81*(1+$E$81)^17</f>
        <v>1110.005416</v>
      </c>
      <c r="U98" s="109">
        <f>$D$81*(1+$E$81)^18</f>
        <v>1198.80585</v>
      </c>
      <c r="V98" s="109">
        <f>$D$81*(1+$E$81)^19</f>
        <v>1294.710318</v>
      </c>
      <c r="W98" s="109">
        <f>$D$81*(1+$E$81)^20</f>
        <v>1398.287143</v>
      </c>
      <c r="X98" s="109">
        <f>$D$81*(1+$E$81)^21</f>
        <v>1510.150115</v>
      </c>
      <c r="Y98" s="109">
        <f>$D$81*(1+$E$81)^22</f>
        <v>1630.962124</v>
      </c>
      <c r="Z98" s="109">
        <f>$D$81*(1+$E$81)^23</f>
        <v>1761.439094</v>
      </c>
    </row>
    <row r="99" ht="15.0" hidden="1" customHeight="1" outlineLevel="1">
      <c r="A99" s="107" t="s">
        <v>621</v>
      </c>
      <c r="B99" s="107">
        <v>0.0</v>
      </c>
      <c r="C99" s="109">
        <f t="shared" ref="C99:Z99" si="23">B99*(1-$F$81)+C98</f>
        <v>300</v>
      </c>
      <c r="D99" s="109">
        <f t="shared" si="23"/>
        <v>579</v>
      </c>
      <c r="E99" s="109">
        <f t="shared" si="23"/>
        <v>842.07</v>
      </c>
      <c r="F99" s="109">
        <f t="shared" si="23"/>
        <v>1093.6731</v>
      </c>
      <c r="G99" s="109">
        <f t="shared" si="23"/>
        <v>1337.768823</v>
      </c>
      <c r="H99" s="109">
        <f t="shared" si="23"/>
        <v>1577.901923</v>
      </c>
      <c r="I99" s="109">
        <f t="shared" si="23"/>
        <v>1817.278931</v>
      </c>
      <c r="J99" s="109">
        <f t="shared" si="23"/>
        <v>2058.834372</v>
      </c>
      <c r="K99" s="109">
        <f t="shared" si="23"/>
        <v>2305.288279</v>
      </c>
      <c r="L99" s="109">
        <f t="shared" si="23"/>
        <v>2559.196426</v>
      </c>
      <c r="M99" s="109">
        <f t="shared" si="23"/>
        <v>2822.994461</v>
      </c>
      <c r="N99" s="109">
        <f t="shared" si="23"/>
        <v>3099.036991</v>
      </c>
      <c r="O99" s="109">
        <f t="shared" si="23"/>
        <v>3389.632477</v>
      </c>
      <c r="P99" s="109">
        <f t="shared" si="23"/>
        <v>3697.074724</v>
      </c>
      <c r="Q99" s="109">
        <f t="shared" si="23"/>
        <v>4023.671602</v>
      </c>
      <c r="R99" s="109">
        <f t="shared" si="23"/>
        <v>4371.771596</v>
      </c>
      <c r="S99" s="109">
        <f t="shared" si="23"/>
        <v>4743.78865</v>
      </c>
      <c r="T99" s="109">
        <f t="shared" si="23"/>
        <v>5142.225769</v>
      </c>
      <c r="U99" s="109">
        <f t="shared" si="23"/>
        <v>5569.697753</v>
      </c>
      <c r="V99" s="109">
        <f t="shared" si="23"/>
        <v>6028.953408</v>
      </c>
      <c r="W99" s="109">
        <f t="shared" si="23"/>
        <v>6522.89754</v>
      </c>
      <c r="X99" s="109">
        <f t="shared" si="23"/>
        <v>7054.613024</v>
      </c>
      <c r="Y99" s="109">
        <f t="shared" si="23"/>
        <v>7627.383194</v>
      </c>
      <c r="Z99" s="109">
        <f t="shared" si="23"/>
        <v>8244.714808</v>
      </c>
    </row>
    <row r="100" ht="15.0" hidden="1" customHeight="1" outlineLevel="1">
      <c r="A100" s="107" t="s">
        <v>622</v>
      </c>
      <c r="B100" s="108">
        <f>-$I$81</f>
        <v>-400000000</v>
      </c>
      <c r="C100" s="108">
        <f t="shared" ref="C100:Z100" si="24">C99*($B$81-$C$81)-C98*$G$81-$H$81</f>
        <v>-300929898</v>
      </c>
      <c r="D100" s="108">
        <f t="shared" si="24"/>
        <v>-290694703</v>
      </c>
      <c r="E100" s="108">
        <f t="shared" si="24"/>
        <v>-283347130.6</v>
      </c>
      <c r="F100" s="108">
        <f t="shared" si="24"/>
        <v>-278562224.6</v>
      </c>
      <c r="G100" s="108">
        <f t="shared" si="24"/>
        <v>-276072427.6</v>
      </c>
      <c r="H100" s="108">
        <f t="shared" si="24"/>
        <v>-275659663.1</v>
      </c>
      <c r="I100" s="108">
        <f t="shared" si="24"/>
        <v>-277148661.2</v>
      </c>
      <c r="J100" s="108">
        <f t="shared" si="24"/>
        <v>-280401345.5</v>
      </c>
      <c r="K100" s="108">
        <f t="shared" si="24"/>
        <v>-285312125.7</v>
      </c>
      <c r="L100" s="108">
        <f t="shared" si="24"/>
        <v>-291803967.5</v>
      </c>
      <c r="M100" s="108">
        <f t="shared" si="24"/>
        <v>-299825125.9</v>
      </c>
      <c r="N100" s="108">
        <f t="shared" si="24"/>
        <v>-309346450.8</v>
      </c>
      <c r="O100" s="108">
        <f t="shared" si="24"/>
        <v>-320359184.5</v>
      </c>
      <c r="P100" s="108">
        <f t="shared" si="24"/>
        <v>-332873184.2</v>
      </c>
      <c r="Q100" s="108">
        <f t="shared" si="24"/>
        <v>-346915514.1</v>
      </c>
      <c r="R100" s="108">
        <f t="shared" si="24"/>
        <v>-362529359.2</v>
      </c>
      <c r="S100" s="108">
        <f t="shared" si="24"/>
        <v>-379773221.3</v>
      </c>
      <c r="T100" s="108">
        <f t="shared" si="24"/>
        <v>-398720365.3</v>
      </c>
      <c r="U100" s="108">
        <f t="shared" si="24"/>
        <v>-419458488</v>
      </c>
      <c r="V100" s="108">
        <f t="shared" si="24"/>
        <v>-442089586.4</v>
      </c>
      <c r="W100" s="108">
        <f t="shared" si="24"/>
        <v>-466730009.8</v>
      </c>
      <c r="X100" s="108">
        <f t="shared" si="24"/>
        <v>-493510678.5</v>
      </c>
      <c r="Y100" s="108">
        <f t="shared" si="24"/>
        <v>-522577460.6</v>
      </c>
      <c r="Z100" s="108">
        <f t="shared" si="24"/>
        <v>-554091696.1</v>
      </c>
    </row>
    <row r="101" ht="15.0" hidden="1" customHeight="1" outlineLevel="1">
      <c r="A101" s="107" t="s">
        <v>623</v>
      </c>
      <c r="B101" s="108">
        <f>$J$81+B100</f>
        <v>1100000000</v>
      </c>
      <c r="C101" s="108">
        <f t="shared" ref="C101:Z101" si="25">B101+C100</f>
        <v>799070102</v>
      </c>
      <c r="D101" s="108">
        <f t="shared" si="25"/>
        <v>508375399</v>
      </c>
      <c r="E101" s="108">
        <f t="shared" si="25"/>
        <v>225028268.4</v>
      </c>
      <c r="F101" s="108">
        <f t="shared" si="25"/>
        <v>-53533956.15</v>
      </c>
      <c r="G101" s="108">
        <f t="shared" si="25"/>
        <v>-329606383.7</v>
      </c>
      <c r="H101" s="108">
        <f t="shared" si="25"/>
        <v>-605266046.8</v>
      </c>
      <c r="I101" s="108">
        <f t="shared" si="25"/>
        <v>-882414708.1</v>
      </c>
      <c r="J101" s="108">
        <f t="shared" si="25"/>
        <v>-1162816054</v>
      </c>
      <c r="K101" s="108">
        <f t="shared" si="25"/>
        <v>-1448128179</v>
      </c>
      <c r="L101" s="108">
        <f t="shared" si="25"/>
        <v>-1739932147</v>
      </c>
      <c r="M101" s="108">
        <f t="shared" si="25"/>
        <v>-2039757273</v>
      </c>
      <c r="N101" s="108">
        <f t="shared" si="25"/>
        <v>-2349103723</v>
      </c>
      <c r="O101" s="108">
        <f t="shared" si="25"/>
        <v>-2669462908</v>
      </c>
      <c r="P101" s="108">
        <f t="shared" si="25"/>
        <v>-3002336092</v>
      </c>
      <c r="Q101" s="108">
        <f t="shared" si="25"/>
        <v>-3349251606</v>
      </c>
      <c r="R101" s="108">
        <f t="shared" si="25"/>
        <v>-3711780965</v>
      </c>
      <c r="S101" s="108">
        <f t="shared" si="25"/>
        <v>-4091554187</v>
      </c>
      <c r="T101" s="108">
        <f t="shared" si="25"/>
        <v>-4490274552</v>
      </c>
      <c r="U101" s="108">
        <f t="shared" si="25"/>
        <v>-4909733040</v>
      </c>
      <c r="V101" s="108">
        <f t="shared" si="25"/>
        <v>-5351822626</v>
      </c>
      <c r="W101" s="108">
        <f t="shared" si="25"/>
        <v>-5818552636</v>
      </c>
      <c r="X101" s="108">
        <f t="shared" si="25"/>
        <v>-6312063315</v>
      </c>
      <c r="Y101" s="108">
        <f t="shared" si="25"/>
        <v>-6834640775</v>
      </c>
      <c r="Z101" s="108">
        <f t="shared" si="25"/>
        <v>-7388732471</v>
      </c>
    </row>
    <row r="102" ht="15.0" hidden="1" customHeight="1" outlineLevel="1">
      <c r="A102" s="107" t="s">
        <v>624</v>
      </c>
      <c r="B102" s="108">
        <f>B100</f>
        <v>-400000000</v>
      </c>
      <c r="C102" s="108">
        <f t="shared" ref="C102:Z102" si="26">B102+C100</f>
        <v>-700929898</v>
      </c>
      <c r="D102" s="108">
        <f t="shared" si="26"/>
        <v>-991624601</v>
      </c>
      <c r="E102" s="108">
        <f t="shared" si="26"/>
        <v>-1274971732</v>
      </c>
      <c r="F102" s="108">
        <f t="shared" si="26"/>
        <v>-1553533956</v>
      </c>
      <c r="G102" s="108">
        <f t="shared" si="26"/>
        <v>-1829606384</v>
      </c>
      <c r="H102" s="108">
        <f t="shared" si="26"/>
        <v>-2105266047</v>
      </c>
      <c r="I102" s="108">
        <f t="shared" si="26"/>
        <v>-2382414708</v>
      </c>
      <c r="J102" s="108">
        <f t="shared" si="26"/>
        <v>-2662816054</v>
      </c>
      <c r="K102" s="108">
        <f t="shared" si="26"/>
        <v>-2948128179</v>
      </c>
      <c r="L102" s="108">
        <f t="shared" si="26"/>
        <v>-3239932147</v>
      </c>
      <c r="M102" s="108">
        <f t="shared" si="26"/>
        <v>-3539757273</v>
      </c>
      <c r="N102" s="108">
        <f t="shared" si="26"/>
        <v>-3849103723</v>
      </c>
      <c r="O102" s="108">
        <f t="shared" si="26"/>
        <v>-4169462908</v>
      </c>
      <c r="P102" s="108">
        <f t="shared" si="26"/>
        <v>-4502336092</v>
      </c>
      <c r="Q102" s="108">
        <f t="shared" si="26"/>
        <v>-4849251606</v>
      </c>
      <c r="R102" s="108">
        <f t="shared" si="26"/>
        <v>-5211780965</v>
      </c>
      <c r="S102" s="108">
        <f t="shared" si="26"/>
        <v>-5591554187</v>
      </c>
      <c r="T102" s="108">
        <f t="shared" si="26"/>
        <v>-5990274552</v>
      </c>
      <c r="U102" s="108">
        <f t="shared" si="26"/>
        <v>-6409733040</v>
      </c>
      <c r="V102" s="108">
        <f t="shared" si="26"/>
        <v>-6851822626</v>
      </c>
      <c r="W102" s="108">
        <f t="shared" si="26"/>
        <v>-7318552636</v>
      </c>
      <c r="X102" s="108">
        <f t="shared" si="26"/>
        <v>-7812063315</v>
      </c>
      <c r="Y102" s="108">
        <f t="shared" si="26"/>
        <v>-8334640775</v>
      </c>
      <c r="Z102" s="108">
        <f t="shared" si="26"/>
        <v>-8888732471</v>
      </c>
    </row>
    <row r="103" ht="15.0" hidden="1" customHeight="1" outlineLevel="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0" hidden="1" customHeight="1" outlineLevel="1">
      <c r="A104" s="107" t="s">
        <v>625</v>
      </c>
      <c r="B104" s="3"/>
      <c r="C104" s="109">
        <f>$D$82*(1+$E$82)^0</f>
        <v>300</v>
      </c>
      <c r="D104" s="109">
        <f>$D$82*(1+$E$82)^1</f>
        <v>324</v>
      </c>
      <c r="E104" s="109">
        <f>$D$82*(1+$E$82)^2</f>
        <v>349.92</v>
      </c>
      <c r="F104" s="109">
        <f>$D$82*(1+$E$82)^3</f>
        <v>377.9136</v>
      </c>
      <c r="G104" s="109">
        <f>$D$82*(1+$E$82)^4</f>
        <v>408.146688</v>
      </c>
      <c r="H104" s="109">
        <f>$D$82*(1+$E$82)^5</f>
        <v>440.798423</v>
      </c>
      <c r="I104" s="109">
        <f>$D$82*(1+$E$82)^6</f>
        <v>476.0622969</v>
      </c>
      <c r="J104" s="109">
        <f>$D$82*(1+$E$82)^7</f>
        <v>514.1472806</v>
      </c>
      <c r="K104" s="109">
        <f>$D$82*(1+$E$82)^8</f>
        <v>555.2790631</v>
      </c>
      <c r="L104" s="109">
        <f>$D$82*(1+$E$82)^9</f>
        <v>599.7013881</v>
      </c>
      <c r="M104" s="109">
        <f>$D$82*(1+$E$82)^10</f>
        <v>647.6774992</v>
      </c>
      <c r="N104" s="109">
        <f>$D$82*(1+$E$82)^11</f>
        <v>699.4916991</v>
      </c>
      <c r="O104" s="109">
        <f>$D$82*(1+$E$82)^12</f>
        <v>755.451035</v>
      </c>
      <c r="P104" s="109">
        <f>$D$82*(1+$E$82)^13</f>
        <v>815.8871178</v>
      </c>
      <c r="Q104" s="109">
        <f>$D$82*(1+$E$82)^14</f>
        <v>881.1580873</v>
      </c>
      <c r="R104" s="109">
        <f>$D$82*(1+$E$82)^15</f>
        <v>951.6507343</v>
      </c>
      <c r="S104" s="109">
        <f>$D$82*(1+$E$82)^16</f>
        <v>1027.782793</v>
      </c>
      <c r="T104" s="109">
        <f>$D$82*(1+$E$82)^17</f>
        <v>1110.005416</v>
      </c>
      <c r="U104" s="109">
        <f>$D$82*(1+$E$82)^18</f>
        <v>1198.80585</v>
      </c>
      <c r="V104" s="109">
        <f>$D$82*(1+$E$82)^19</f>
        <v>1294.710318</v>
      </c>
      <c r="W104" s="109">
        <f>$D$82*(1+$E$82)^20</f>
        <v>1398.287143</v>
      </c>
      <c r="X104" s="109">
        <f>$D$82*(1+$E$82)^21</f>
        <v>1510.150115</v>
      </c>
      <c r="Y104" s="109">
        <f>$D$82*(1+$E$82)^22</f>
        <v>1630.962124</v>
      </c>
      <c r="Z104" s="109">
        <f>$D$82*(1+$E$82)^23</f>
        <v>1761.439094</v>
      </c>
    </row>
    <row r="105" ht="15.0" hidden="1" customHeight="1" outlineLevel="1">
      <c r="A105" s="107" t="s">
        <v>626</v>
      </c>
      <c r="B105" s="107">
        <v>0.0</v>
      </c>
      <c r="C105" s="109">
        <f t="shared" ref="C105:Z105" si="27">B105*(1-$F$82)+C104</f>
        <v>300</v>
      </c>
      <c r="D105" s="109">
        <f t="shared" si="27"/>
        <v>579</v>
      </c>
      <c r="E105" s="109">
        <f t="shared" si="27"/>
        <v>842.07</v>
      </c>
      <c r="F105" s="109">
        <f t="shared" si="27"/>
        <v>1093.6731</v>
      </c>
      <c r="G105" s="109">
        <f t="shared" si="27"/>
        <v>1337.768823</v>
      </c>
      <c r="H105" s="109">
        <f t="shared" si="27"/>
        <v>1577.901923</v>
      </c>
      <c r="I105" s="109">
        <f t="shared" si="27"/>
        <v>1817.278931</v>
      </c>
      <c r="J105" s="109">
        <f t="shared" si="27"/>
        <v>2058.834372</v>
      </c>
      <c r="K105" s="109">
        <f t="shared" si="27"/>
        <v>2305.288279</v>
      </c>
      <c r="L105" s="109">
        <f t="shared" si="27"/>
        <v>2559.196426</v>
      </c>
      <c r="M105" s="109">
        <f t="shared" si="27"/>
        <v>2822.994461</v>
      </c>
      <c r="N105" s="109">
        <f t="shared" si="27"/>
        <v>3099.036991</v>
      </c>
      <c r="O105" s="109">
        <f t="shared" si="27"/>
        <v>3389.632477</v>
      </c>
      <c r="P105" s="109">
        <f t="shared" si="27"/>
        <v>3697.074724</v>
      </c>
      <c r="Q105" s="109">
        <f t="shared" si="27"/>
        <v>4023.671602</v>
      </c>
      <c r="R105" s="109">
        <f t="shared" si="27"/>
        <v>4371.771596</v>
      </c>
      <c r="S105" s="109">
        <f t="shared" si="27"/>
        <v>4743.78865</v>
      </c>
      <c r="T105" s="109">
        <f t="shared" si="27"/>
        <v>5142.225769</v>
      </c>
      <c r="U105" s="109">
        <f t="shared" si="27"/>
        <v>5569.697753</v>
      </c>
      <c r="V105" s="109">
        <f t="shared" si="27"/>
        <v>6028.953408</v>
      </c>
      <c r="W105" s="109">
        <f t="shared" si="27"/>
        <v>6522.89754</v>
      </c>
      <c r="X105" s="109">
        <f t="shared" si="27"/>
        <v>7054.613024</v>
      </c>
      <c r="Y105" s="109">
        <f t="shared" si="27"/>
        <v>7627.383194</v>
      </c>
      <c r="Z105" s="109">
        <f t="shared" si="27"/>
        <v>8244.714808</v>
      </c>
    </row>
    <row r="106" ht="15.0" hidden="1" customHeight="1" outlineLevel="1">
      <c r="A106" s="107" t="s">
        <v>627</v>
      </c>
      <c r="B106" s="108">
        <f>-$I$82</f>
        <v>-400000000</v>
      </c>
      <c r="C106" s="108">
        <f t="shared" ref="C106:Z106" si="28">C105*($B$82-$C$82)-C104*$G$82-$H$82</f>
        <v>-293441877.5</v>
      </c>
      <c r="D106" s="108">
        <f t="shared" si="28"/>
        <v>-276242823.7</v>
      </c>
      <c r="E106" s="108">
        <f t="shared" si="28"/>
        <v>-262329006.1</v>
      </c>
      <c r="F106" s="108">
        <f t="shared" si="28"/>
        <v>-251264069.6</v>
      </c>
      <c r="G106" s="108">
        <f t="shared" si="28"/>
        <v>-242681626.8</v>
      </c>
      <c r="H106" s="108">
        <f t="shared" si="28"/>
        <v>-236275123.8</v>
      </c>
      <c r="I106" s="108">
        <f t="shared" si="28"/>
        <v>-231789255.5</v>
      </c>
      <c r="J106" s="108">
        <f t="shared" si="28"/>
        <v>-229012699.5</v>
      </c>
      <c r="K106" s="108">
        <f t="shared" si="28"/>
        <v>-227771973.4</v>
      </c>
      <c r="L106" s="108">
        <f t="shared" si="28"/>
        <v>-227926250.6</v>
      </c>
      <c r="M106" s="108">
        <f t="shared" si="28"/>
        <v>-229362992.1</v>
      </c>
      <c r="N106" s="108">
        <f t="shared" si="28"/>
        <v>-231994276.7</v>
      </c>
      <c r="O106" s="108">
        <f t="shared" si="28"/>
        <v>-235753727.2</v>
      </c>
      <c r="P106" s="108">
        <f t="shared" si="28"/>
        <v>-240593947.6</v>
      </c>
      <c r="Q106" s="108">
        <f t="shared" si="28"/>
        <v>-246484397.2</v>
      </c>
      <c r="R106" s="108">
        <f t="shared" si="28"/>
        <v>-253409642.7</v>
      </c>
      <c r="S106" s="108">
        <f t="shared" si="28"/>
        <v>-261367933.9</v>
      </c>
      <c r="T106" s="108">
        <f t="shared" si="28"/>
        <v>-270370060.3</v>
      </c>
      <c r="U106" s="108">
        <f t="shared" si="28"/>
        <v>-280438453.1</v>
      </c>
      <c r="V106" s="108">
        <f t="shared" si="28"/>
        <v>-291606499.2</v>
      </c>
      <c r="W106" s="108">
        <f t="shared" si="28"/>
        <v>-303918043.4</v>
      </c>
      <c r="X106" s="108">
        <f t="shared" si="28"/>
        <v>-317427057.5</v>
      </c>
      <c r="Y106" s="108">
        <f t="shared" si="28"/>
        <v>-332197457.2</v>
      </c>
      <c r="Z106" s="108">
        <f t="shared" si="28"/>
        <v>-348303053.6</v>
      </c>
    </row>
    <row r="107" ht="15.0" hidden="1" customHeight="1" outlineLevel="1">
      <c r="A107" s="107" t="s">
        <v>628</v>
      </c>
      <c r="B107" s="108">
        <f>$J$82+B106</f>
        <v>1100000000</v>
      </c>
      <c r="C107" s="108">
        <f t="shared" ref="C107:Z107" si="29">B107+C106</f>
        <v>806558122.5</v>
      </c>
      <c r="D107" s="108">
        <f t="shared" si="29"/>
        <v>530315298.8</v>
      </c>
      <c r="E107" s="108">
        <f t="shared" si="29"/>
        <v>267986292.7</v>
      </c>
      <c r="F107" s="108">
        <f t="shared" si="29"/>
        <v>16722223.12</v>
      </c>
      <c r="G107" s="108">
        <f t="shared" si="29"/>
        <v>-225959403.6</v>
      </c>
      <c r="H107" s="108">
        <f t="shared" si="29"/>
        <v>-462234527.4</v>
      </c>
      <c r="I107" s="108">
        <f t="shared" si="29"/>
        <v>-694023782.9</v>
      </c>
      <c r="J107" s="108">
        <f t="shared" si="29"/>
        <v>-923036482.3</v>
      </c>
      <c r="K107" s="108">
        <f t="shared" si="29"/>
        <v>-1150808456</v>
      </c>
      <c r="L107" s="108">
        <f t="shared" si="29"/>
        <v>-1378734706</v>
      </c>
      <c r="M107" s="108">
        <f t="shared" si="29"/>
        <v>-1608097699</v>
      </c>
      <c r="N107" s="108">
        <f t="shared" si="29"/>
        <v>-1840091975</v>
      </c>
      <c r="O107" s="108">
        <f t="shared" si="29"/>
        <v>-2075845702</v>
      </c>
      <c r="P107" s="108">
        <f t="shared" si="29"/>
        <v>-2316439650</v>
      </c>
      <c r="Q107" s="108">
        <f t="shared" si="29"/>
        <v>-2562924047</v>
      </c>
      <c r="R107" s="108">
        <f t="shared" si="29"/>
        <v>-2816333690</v>
      </c>
      <c r="S107" s="108">
        <f t="shared" si="29"/>
        <v>-3077701624</v>
      </c>
      <c r="T107" s="108">
        <f t="shared" si="29"/>
        <v>-3348071684</v>
      </c>
      <c r="U107" s="108">
        <f t="shared" si="29"/>
        <v>-3628510137</v>
      </c>
      <c r="V107" s="108">
        <f t="shared" si="29"/>
        <v>-3920116636</v>
      </c>
      <c r="W107" s="108">
        <f t="shared" si="29"/>
        <v>-4224034680</v>
      </c>
      <c r="X107" s="108">
        <f t="shared" si="29"/>
        <v>-4541461737</v>
      </c>
      <c r="Y107" s="108">
        <f t="shared" si="29"/>
        <v>-4873659195</v>
      </c>
      <c r="Z107" s="108">
        <f t="shared" si="29"/>
        <v>-5221962248</v>
      </c>
    </row>
    <row r="108" ht="15.0" hidden="1" customHeight="1" outlineLevel="1">
      <c r="A108" s="107" t="s">
        <v>629</v>
      </c>
      <c r="B108" s="108">
        <f>B106</f>
        <v>-400000000</v>
      </c>
      <c r="C108" s="108">
        <f t="shared" ref="C108:Z108" si="30">B108+C106</f>
        <v>-693441877.5</v>
      </c>
      <c r="D108" s="108">
        <f t="shared" si="30"/>
        <v>-969684701.2</v>
      </c>
      <c r="E108" s="108">
        <f t="shared" si="30"/>
        <v>-1232013707</v>
      </c>
      <c r="F108" s="108">
        <f t="shared" si="30"/>
        <v>-1483277777</v>
      </c>
      <c r="G108" s="108">
        <f t="shared" si="30"/>
        <v>-1725959404</v>
      </c>
      <c r="H108" s="108">
        <f t="shared" si="30"/>
        <v>-1962234527</v>
      </c>
      <c r="I108" s="108">
        <f t="shared" si="30"/>
        <v>-2194023783</v>
      </c>
      <c r="J108" s="108">
        <f t="shared" si="30"/>
        <v>-2423036482</v>
      </c>
      <c r="K108" s="108">
        <f t="shared" si="30"/>
        <v>-2650808456</v>
      </c>
      <c r="L108" s="108">
        <f t="shared" si="30"/>
        <v>-2878734706</v>
      </c>
      <c r="M108" s="108">
        <f t="shared" si="30"/>
        <v>-3108097699</v>
      </c>
      <c r="N108" s="108">
        <f t="shared" si="30"/>
        <v>-3340091975</v>
      </c>
      <c r="O108" s="108">
        <f t="shared" si="30"/>
        <v>-3575845702</v>
      </c>
      <c r="P108" s="108">
        <f t="shared" si="30"/>
        <v>-3816439650</v>
      </c>
      <c r="Q108" s="108">
        <f t="shared" si="30"/>
        <v>-4062924047</v>
      </c>
      <c r="R108" s="108">
        <f t="shared" si="30"/>
        <v>-4316333690</v>
      </c>
      <c r="S108" s="108">
        <f t="shared" si="30"/>
        <v>-4577701624</v>
      </c>
      <c r="T108" s="108">
        <f t="shared" si="30"/>
        <v>-4848071684</v>
      </c>
      <c r="U108" s="108">
        <f t="shared" si="30"/>
        <v>-5128510137</v>
      </c>
      <c r="V108" s="108">
        <f t="shared" si="30"/>
        <v>-5420116636</v>
      </c>
      <c r="W108" s="108">
        <f t="shared" si="30"/>
        <v>-5724034680</v>
      </c>
      <c r="X108" s="108">
        <f t="shared" si="30"/>
        <v>-6041461737</v>
      </c>
      <c r="Y108" s="108">
        <f t="shared" si="30"/>
        <v>-6373659195</v>
      </c>
      <c r="Z108" s="108">
        <f t="shared" si="30"/>
        <v>-6721962248</v>
      </c>
    </row>
    <row r="109" ht="15.0" hidden="1" customHeight="1" outlineLevel="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0" hidden="1" customHeight="1" outlineLevel="1">
      <c r="A110" s="107" t="s">
        <v>630</v>
      </c>
      <c r="B110" s="3"/>
      <c r="C110" s="109">
        <f>$D$83*(1+$E$83)^0</f>
        <v>300</v>
      </c>
      <c r="D110" s="109">
        <f>$D$83*(1+$E$83)^1</f>
        <v>324</v>
      </c>
      <c r="E110" s="109">
        <f>$D$83*(1+$E$83)^2</f>
        <v>349.92</v>
      </c>
      <c r="F110" s="109">
        <f>$D$83*(1+$E$83)^3</f>
        <v>377.9136</v>
      </c>
      <c r="G110" s="109">
        <f>$D$83*(1+$E$83)^4</f>
        <v>408.146688</v>
      </c>
      <c r="H110" s="109">
        <f>$D$83*(1+$E$83)^5</f>
        <v>440.798423</v>
      </c>
      <c r="I110" s="109">
        <f>$D$83*(1+$E$83)^6</f>
        <v>476.0622969</v>
      </c>
      <c r="J110" s="109">
        <f>$D$83*(1+$E$83)^7</f>
        <v>514.1472806</v>
      </c>
      <c r="K110" s="109">
        <f>$D$83*(1+$E$83)^8</f>
        <v>555.2790631</v>
      </c>
      <c r="L110" s="109">
        <f>$D$83*(1+$E$83)^9</f>
        <v>599.7013881</v>
      </c>
      <c r="M110" s="109">
        <f>$D$83*(1+$E$83)^10</f>
        <v>647.6774992</v>
      </c>
      <c r="N110" s="109">
        <f>$D$83*(1+$E$83)^11</f>
        <v>699.4916991</v>
      </c>
      <c r="O110" s="109">
        <f>$D$83*(1+$E$83)^12</f>
        <v>755.451035</v>
      </c>
      <c r="P110" s="109">
        <f>$D$83*(1+$E$83)^13</f>
        <v>815.8871178</v>
      </c>
      <c r="Q110" s="109">
        <f>$D$83*(1+$E$83)^14</f>
        <v>881.1580873</v>
      </c>
      <c r="R110" s="109">
        <f>$D$83*(1+$E$83)^15</f>
        <v>951.6507343</v>
      </c>
      <c r="S110" s="109">
        <f>$D$83*(1+$E$83)^16</f>
        <v>1027.782793</v>
      </c>
      <c r="T110" s="109">
        <f>$D$83*(1+$E$83)^17</f>
        <v>1110.005416</v>
      </c>
      <c r="U110" s="109">
        <f>$D$83*(1+$E$83)^18</f>
        <v>1198.80585</v>
      </c>
      <c r="V110" s="109">
        <f>$D$83*(1+$E$83)^19</f>
        <v>1294.710318</v>
      </c>
      <c r="W110" s="109">
        <f>$D$83*(1+$E$83)^20</f>
        <v>1398.287143</v>
      </c>
      <c r="X110" s="109">
        <f>$D$83*(1+$E$83)^21</f>
        <v>1510.150115</v>
      </c>
      <c r="Y110" s="109">
        <f>$D$83*(1+$E$83)^22</f>
        <v>1630.962124</v>
      </c>
      <c r="Z110" s="109">
        <f>$D$83*(1+$E$83)^23</f>
        <v>1761.439094</v>
      </c>
    </row>
    <row r="111" ht="15.0" hidden="1" customHeight="1" outlineLevel="1">
      <c r="A111" s="107" t="s">
        <v>631</v>
      </c>
      <c r="B111" s="107">
        <v>0.0</v>
      </c>
      <c r="C111" s="109">
        <f t="shared" ref="C111:Z111" si="31">B111*(1-$F$83)+C110</f>
        <v>300</v>
      </c>
      <c r="D111" s="109">
        <f t="shared" si="31"/>
        <v>570</v>
      </c>
      <c r="E111" s="109">
        <f t="shared" si="31"/>
        <v>817.32</v>
      </c>
      <c r="F111" s="109">
        <f t="shared" si="31"/>
        <v>1048.116</v>
      </c>
      <c r="G111" s="109">
        <f t="shared" si="31"/>
        <v>1267.601808</v>
      </c>
      <c r="H111" s="109">
        <f t="shared" si="31"/>
        <v>1480.231906</v>
      </c>
      <c r="I111" s="109">
        <f t="shared" si="31"/>
        <v>1689.852459</v>
      </c>
      <c r="J111" s="109">
        <f t="shared" si="31"/>
        <v>1899.826297</v>
      </c>
      <c r="K111" s="109">
        <f t="shared" si="31"/>
        <v>2113.136627</v>
      </c>
      <c r="L111" s="109">
        <f t="shared" si="31"/>
        <v>2332.473422</v>
      </c>
      <c r="M111" s="109">
        <f t="shared" si="31"/>
        <v>2560.305705</v>
      </c>
      <c r="N111" s="109">
        <f t="shared" si="31"/>
        <v>2798.942378</v>
      </c>
      <c r="O111" s="109">
        <f t="shared" si="31"/>
        <v>3050.583785</v>
      </c>
      <c r="P111" s="109">
        <f t="shared" si="31"/>
        <v>3317.365821</v>
      </c>
      <c r="Q111" s="109">
        <f t="shared" si="31"/>
        <v>3601.398061</v>
      </c>
      <c r="R111" s="109">
        <f t="shared" si="31"/>
        <v>3904.797144</v>
      </c>
      <c r="S111" s="109">
        <f t="shared" si="31"/>
        <v>4229.716451</v>
      </c>
      <c r="T111" s="109">
        <f t="shared" si="31"/>
        <v>4578.372906</v>
      </c>
      <c r="U111" s="109">
        <f t="shared" si="31"/>
        <v>4953.071633</v>
      </c>
      <c r="V111" s="109">
        <f t="shared" si="31"/>
        <v>5356.229057</v>
      </c>
      <c r="W111" s="109">
        <f t="shared" si="31"/>
        <v>5790.39497</v>
      </c>
      <c r="X111" s="109">
        <f t="shared" si="31"/>
        <v>6258.27399</v>
      </c>
      <c r="Y111" s="109">
        <f t="shared" si="31"/>
        <v>6762.746795</v>
      </c>
      <c r="Z111" s="109">
        <f t="shared" si="31"/>
        <v>7306.891466</v>
      </c>
    </row>
    <row r="112" ht="15.0" hidden="1" customHeight="1" outlineLevel="1">
      <c r="A112" s="107" t="s">
        <v>632</v>
      </c>
      <c r="B112" s="108">
        <f>-$I$83</f>
        <v>-400000000</v>
      </c>
      <c r="C112" s="108">
        <f t="shared" ref="C112:Z112" si="32">C111*($B$83-$C$83)-C110*$G$83-$H$83</f>
        <v>-292559898</v>
      </c>
      <c r="D112" s="108">
        <f t="shared" si="32"/>
        <v>-275663806.1</v>
      </c>
      <c r="E112" s="108">
        <f t="shared" si="32"/>
        <v>-262942186</v>
      </c>
      <c r="F112" s="108">
        <f t="shared" si="32"/>
        <v>-253734286.7</v>
      </c>
      <c r="G112" s="108">
        <f t="shared" si="32"/>
        <v>-247505544.8</v>
      </c>
      <c r="H112" s="108">
        <f t="shared" si="32"/>
        <v>-243825450.8</v>
      </c>
      <c r="I112" s="108">
        <f t="shared" si="32"/>
        <v>-242349446.1</v>
      </c>
      <c r="J112" s="108">
        <f t="shared" si="32"/>
        <v>-242804128.3</v>
      </c>
      <c r="K112" s="108">
        <f t="shared" si="32"/>
        <v>-244975174.3</v>
      </c>
      <c r="L112" s="108">
        <f t="shared" si="32"/>
        <v>-248697495.2</v>
      </c>
      <c r="M112" s="108">
        <f t="shared" si="32"/>
        <v>-253847226.5</v>
      </c>
      <c r="N112" s="108">
        <f t="shared" si="32"/>
        <v>-260335228.6</v>
      </c>
      <c r="O112" s="108">
        <f t="shared" si="32"/>
        <v>-268101830.5</v>
      </c>
      <c r="P112" s="108">
        <f t="shared" si="32"/>
        <v>-277112599.6</v>
      </c>
      <c r="Q112" s="108">
        <f t="shared" si="32"/>
        <v>-287354958.1</v>
      </c>
      <c r="R112" s="108">
        <f t="shared" si="32"/>
        <v>-298835502.1</v>
      </c>
      <c r="S112" s="108">
        <f t="shared" si="32"/>
        <v>-311577903.2</v>
      </c>
      <c r="T112" s="108">
        <f t="shared" si="32"/>
        <v>-325621295.4</v>
      </c>
      <c r="U112" s="108">
        <f t="shared" si="32"/>
        <v>-341019070.2</v>
      </c>
      <c r="V112" s="108">
        <f t="shared" si="32"/>
        <v>-357838014.2</v>
      </c>
      <c r="W112" s="108">
        <f t="shared" si="32"/>
        <v>-376157738.3</v>
      </c>
      <c r="X112" s="108">
        <f t="shared" si="32"/>
        <v>-396070357.5</v>
      </c>
      <c r="Y112" s="108">
        <f t="shared" si="32"/>
        <v>-417680386.2</v>
      </c>
      <c r="Z112" s="108">
        <f t="shared" si="32"/>
        <v>-441104825.1</v>
      </c>
    </row>
    <row r="113" ht="15.0" hidden="1" customHeight="1" outlineLevel="1">
      <c r="A113" s="107" t="s">
        <v>633</v>
      </c>
      <c r="B113" s="108">
        <f>$J$83+B112</f>
        <v>1100000000</v>
      </c>
      <c r="C113" s="108">
        <f t="shared" ref="C113:Z113" si="33">B113+C112</f>
        <v>807440102</v>
      </c>
      <c r="D113" s="108">
        <f t="shared" si="33"/>
        <v>531776295.9</v>
      </c>
      <c r="E113" s="108">
        <f t="shared" si="33"/>
        <v>268834110</v>
      </c>
      <c r="F113" s="108">
        <f t="shared" si="33"/>
        <v>15099823.29</v>
      </c>
      <c r="G113" s="108">
        <f t="shared" si="33"/>
        <v>-232405721.5</v>
      </c>
      <c r="H113" s="108">
        <f t="shared" si="33"/>
        <v>-476231172.3</v>
      </c>
      <c r="I113" s="108">
        <f t="shared" si="33"/>
        <v>-718580618.3</v>
      </c>
      <c r="J113" s="108">
        <f t="shared" si="33"/>
        <v>-961384746.6</v>
      </c>
      <c r="K113" s="108">
        <f t="shared" si="33"/>
        <v>-1206359921</v>
      </c>
      <c r="L113" s="108">
        <f t="shared" si="33"/>
        <v>-1455057416</v>
      </c>
      <c r="M113" s="108">
        <f t="shared" si="33"/>
        <v>-1708904643</v>
      </c>
      <c r="N113" s="108">
        <f t="shared" si="33"/>
        <v>-1969239871</v>
      </c>
      <c r="O113" s="108">
        <f t="shared" si="33"/>
        <v>-2237341702</v>
      </c>
      <c r="P113" s="108">
        <f t="shared" si="33"/>
        <v>-2514454301</v>
      </c>
      <c r="Q113" s="108">
        <f t="shared" si="33"/>
        <v>-2801809259</v>
      </c>
      <c r="R113" s="108">
        <f t="shared" si="33"/>
        <v>-3100644761</v>
      </c>
      <c r="S113" s="108">
        <f t="shared" si="33"/>
        <v>-3412222665</v>
      </c>
      <c r="T113" s="108">
        <f t="shared" si="33"/>
        <v>-3737843960</v>
      </c>
      <c r="U113" s="108">
        <f t="shared" si="33"/>
        <v>-4078863030</v>
      </c>
      <c r="V113" s="108">
        <f t="shared" si="33"/>
        <v>-4436701044</v>
      </c>
      <c r="W113" s="108">
        <f t="shared" si="33"/>
        <v>-4812858783</v>
      </c>
      <c r="X113" s="108">
        <f t="shared" si="33"/>
        <v>-5208929140</v>
      </c>
      <c r="Y113" s="108">
        <f t="shared" si="33"/>
        <v>-5626609526</v>
      </c>
      <c r="Z113" s="108">
        <f t="shared" si="33"/>
        <v>-6067714352</v>
      </c>
    </row>
    <row r="114" ht="15.0" hidden="1" customHeight="1" outlineLevel="1">
      <c r="A114" s="107" t="s">
        <v>634</v>
      </c>
      <c r="B114" s="108">
        <f>B112</f>
        <v>-400000000</v>
      </c>
      <c r="C114" s="108">
        <f t="shared" ref="C114:Z114" si="34">B114+C112</f>
        <v>-692559898</v>
      </c>
      <c r="D114" s="108">
        <f t="shared" si="34"/>
        <v>-968223704.1</v>
      </c>
      <c r="E114" s="108">
        <f t="shared" si="34"/>
        <v>-1231165890</v>
      </c>
      <c r="F114" s="108">
        <f t="shared" si="34"/>
        <v>-1484900177</v>
      </c>
      <c r="G114" s="108">
        <f t="shared" si="34"/>
        <v>-1732405721</v>
      </c>
      <c r="H114" s="108">
        <f t="shared" si="34"/>
        <v>-1976231172</v>
      </c>
      <c r="I114" s="108">
        <f t="shared" si="34"/>
        <v>-2218580618</v>
      </c>
      <c r="J114" s="108">
        <f t="shared" si="34"/>
        <v>-2461384747</v>
      </c>
      <c r="K114" s="108">
        <f t="shared" si="34"/>
        <v>-2706359921</v>
      </c>
      <c r="L114" s="108">
        <f t="shared" si="34"/>
        <v>-2955057416</v>
      </c>
      <c r="M114" s="108">
        <f t="shared" si="34"/>
        <v>-3208904643</v>
      </c>
      <c r="N114" s="108">
        <f t="shared" si="34"/>
        <v>-3469239871</v>
      </c>
      <c r="O114" s="108">
        <f t="shared" si="34"/>
        <v>-3737341702</v>
      </c>
      <c r="P114" s="108">
        <f t="shared" si="34"/>
        <v>-4014454301</v>
      </c>
      <c r="Q114" s="108">
        <f t="shared" si="34"/>
        <v>-4301809259</v>
      </c>
      <c r="R114" s="108">
        <f t="shared" si="34"/>
        <v>-4600644761</v>
      </c>
      <c r="S114" s="108">
        <f t="shared" si="34"/>
        <v>-4912222665</v>
      </c>
      <c r="T114" s="108">
        <f t="shared" si="34"/>
        <v>-5237843960</v>
      </c>
      <c r="U114" s="108">
        <f t="shared" si="34"/>
        <v>-5578863030</v>
      </c>
      <c r="V114" s="108">
        <f t="shared" si="34"/>
        <v>-5936701044</v>
      </c>
      <c r="W114" s="108">
        <f t="shared" si="34"/>
        <v>-6312858783</v>
      </c>
      <c r="X114" s="108">
        <f t="shared" si="34"/>
        <v>-6708929140</v>
      </c>
      <c r="Y114" s="108">
        <f t="shared" si="34"/>
        <v>-7126609526</v>
      </c>
      <c r="Z114" s="108">
        <f t="shared" si="34"/>
        <v>-7567714352</v>
      </c>
    </row>
    <row r="115" ht="15.0" hidden="1" customHeight="1" outlineLevel="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0" hidden="1" customHeight="1" outlineLevel="1">
      <c r="A116" s="107" t="s">
        <v>635</v>
      </c>
      <c r="B116" s="3"/>
      <c r="C116" s="109">
        <f>$D$84*(1+$E$84)^0</f>
        <v>300</v>
      </c>
      <c r="D116" s="109">
        <f>$D$84*(1+$E$84)^1</f>
        <v>324</v>
      </c>
      <c r="E116" s="109">
        <f>$D$84*(1+$E$84)^2</f>
        <v>349.92</v>
      </c>
      <c r="F116" s="109">
        <f>$D$84*(1+$E$84)^3</f>
        <v>377.9136</v>
      </c>
      <c r="G116" s="109">
        <f>$D$84*(1+$E$84)^4</f>
        <v>408.146688</v>
      </c>
      <c r="H116" s="109">
        <f>$D$84*(1+$E$84)^5</f>
        <v>440.798423</v>
      </c>
      <c r="I116" s="109">
        <f>$D$84*(1+$E$84)^6</f>
        <v>476.0622969</v>
      </c>
      <c r="J116" s="109">
        <f>$D$84*(1+$E$84)^7</f>
        <v>514.1472806</v>
      </c>
      <c r="K116" s="109">
        <f>$D$84*(1+$E$84)^8</f>
        <v>555.2790631</v>
      </c>
      <c r="L116" s="109">
        <f>$D$84*(1+$E$84)^9</f>
        <v>599.7013881</v>
      </c>
      <c r="M116" s="109">
        <f>$D$84*(1+$E$84)^10</f>
        <v>647.6774992</v>
      </c>
      <c r="N116" s="109">
        <f>$D$84*(1+$E$84)^11</f>
        <v>699.4916991</v>
      </c>
      <c r="O116" s="109">
        <f>$D$84*(1+$E$84)^12</f>
        <v>755.451035</v>
      </c>
      <c r="P116" s="109">
        <f>$D$84*(1+$E$84)^13</f>
        <v>815.8871178</v>
      </c>
      <c r="Q116" s="109">
        <f>$D$84*(1+$E$84)^14</f>
        <v>881.1580873</v>
      </c>
      <c r="R116" s="109">
        <f>$D$84*(1+$E$84)^15</f>
        <v>951.6507343</v>
      </c>
      <c r="S116" s="109">
        <f>$D$84*(1+$E$84)^16</f>
        <v>1027.782793</v>
      </c>
      <c r="T116" s="109">
        <f>$D$84*(1+$E$84)^17</f>
        <v>1110.005416</v>
      </c>
      <c r="U116" s="109">
        <f>$D$84*(1+$E$84)^18</f>
        <v>1198.80585</v>
      </c>
      <c r="V116" s="109">
        <f>$D$84*(1+$E$84)^19</f>
        <v>1294.710318</v>
      </c>
      <c r="W116" s="109">
        <f>$D$84*(1+$E$84)^20</f>
        <v>1398.287143</v>
      </c>
      <c r="X116" s="109">
        <f>$D$84*(1+$E$84)^21</f>
        <v>1510.150115</v>
      </c>
      <c r="Y116" s="109">
        <f>$D$84*(1+$E$84)^22</f>
        <v>1630.962124</v>
      </c>
      <c r="Z116" s="109">
        <f>$D$84*(1+$E$84)^23</f>
        <v>1761.439094</v>
      </c>
    </row>
    <row r="117" ht="15.0" hidden="1" customHeight="1" outlineLevel="1">
      <c r="A117" s="107" t="s">
        <v>636</v>
      </c>
      <c r="B117" s="107">
        <v>0.0</v>
      </c>
      <c r="C117" s="109">
        <f t="shared" ref="C117:Z117" si="35">B117*(1-$F$84)+C116</f>
        <v>300</v>
      </c>
      <c r="D117" s="109">
        <f t="shared" si="35"/>
        <v>579</v>
      </c>
      <c r="E117" s="109">
        <f t="shared" si="35"/>
        <v>842.07</v>
      </c>
      <c r="F117" s="109">
        <f t="shared" si="35"/>
        <v>1093.6731</v>
      </c>
      <c r="G117" s="109">
        <f t="shared" si="35"/>
        <v>1337.768823</v>
      </c>
      <c r="H117" s="109">
        <f t="shared" si="35"/>
        <v>1577.901923</v>
      </c>
      <c r="I117" s="109">
        <f t="shared" si="35"/>
        <v>1817.278931</v>
      </c>
      <c r="J117" s="109">
        <f t="shared" si="35"/>
        <v>2058.834372</v>
      </c>
      <c r="K117" s="109">
        <f t="shared" si="35"/>
        <v>2305.288279</v>
      </c>
      <c r="L117" s="109">
        <f t="shared" si="35"/>
        <v>2559.196426</v>
      </c>
      <c r="M117" s="109">
        <f t="shared" si="35"/>
        <v>2822.994461</v>
      </c>
      <c r="N117" s="109">
        <f t="shared" si="35"/>
        <v>3099.036991</v>
      </c>
      <c r="O117" s="109">
        <f t="shared" si="35"/>
        <v>3389.632477</v>
      </c>
      <c r="P117" s="109">
        <f t="shared" si="35"/>
        <v>3697.074724</v>
      </c>
      <c r="Q117" s="109">
        <f t="shared" si="35"/>
        <v>4023.671602</v>
      </c>
      <c r="R117" s="109">
        <f t="shared" si="35"/>
        <v>4371.771596</v>
      </c>
      <c r="S117" s="109">
        <f t="shared" si="35"/>
        <v>4743.78865</v>
      </c>
      <c r="T117" s="109">
        <f t="shared" si="35"/>
        <v>5142.225769</v>
      </c>
      <c r="U117" s="109">
        <f t="shared" si="35"/>
        <v>5569.697753</v>
      </c>
      <c r="V117" s="109">
        <f t="shared" si="35"/>
        <v>6028.953408</v>
      </c>
      <c r="W117" s="109">
        <f t="shared" si="35"/>
        <v>6522.89754</v>
      </c>
      <c r="X117" s="109">
        <f t="shared" si="35"/>
        <v>7054.613024</v>
      </c>
      <c r="Y117" s="109">
        <f t="shared" si="35"/>
        <v>7627.383194</v>
      </c>
      <c r="Z117" s="109">
        <f t="shared" si="35"/>
        <v>8244.714808</v>
      </c>
    </row>
    <row r="118" ht="15.0" hidden="1" customHeight="1" outlineLevel="1">
      <c r="A118" s="107" t="s">
        <v>637</v>
      </c>
      <c r="B118" s="108">
        <f>-$I$84</f>
        <v>-400000000</v>
      </c>
      <c r="C118" s="108">
        <f t="shared" ref="C118:Z118" si="36">C117*($B$84-$C$84)-C116*$G$84-$H$84</f>
        <v>-334559898</v>
      </c>
      <c r="D118" s="108">
        <f t="shared" si="36"/>
        <v>-319900603</v>
      </c>
      <c r="E118" s="108">
        <f t="shared" si="36"/>
        <v>-308842177.6</v>
      </c>
      <c r="F118" s="108">
        <f t="shared" si="36"/>
        <v>-300956649.1</v>
      </c>
      <c r="G118" s="108">
        <f t="shared" si="36"/>
        <v>-295889213.8</v>
      </c>
      <c r="H118" s="108">
        <f t="shared" si="36"/>
        <v>-293347978.7</v>
      </c>
      <c r="I118" s="108">
        <f t="shared" si="36"/>
        <v>-293095300.6</v>
      </c>
      <c r="J118" s="108">
        <f t="shared" si="36"/>
        <v>-294940485.8</v>
      </c>
      <c r="K118" s="108">
        <f t="shared" si="36"/>
        <v>-298733651.6</v>
      </c>
      <c r="L118" s="108">
        <f t="shared" si="36"/>
        <v>-304360581.6</v>
      </c>
      <c r="M118" s="108">
        <f t="shared" si="36"/>
        <v>-311738430.3</v>
      </c>
      <c r="N118" s="108">
        <f t="shared" si="36"/>
        <v>-320812156.6</v>
      </c>
      <c r="O118" s="108">
        <f t="shared" si="36"/>
        <v>-331551583.3</v>
      </c>
      <c r="P118" s="108">
        <f t="shared" si="36"/>
        <v>-343948995.9</v>
      </c>
      <c r="Q118" s="108">
        <f t="shared" si="36"/>
        <v>-358017208.7</v>
      </c>
      <c r="R118" s="108">
        <f t="shared" si="36"/>
        <v>-373788034.5</v>
      </c>
      <c r="S118" s="108">
        <f t="shared" si="36"/>
        <v>-391311109</v>
      </c>
      <c r="T118" s="108">
        <f t="shared" si="36"/>
        <v>-410653024.7</v>
      </c>
      <c r="U118" s="108">
        <f t="shared" si="36"/>
        <v>-431896739.6</v>
      </c>
      <c r="V118" s="108">
        <f t="shared" si="36"/>
        <v>-455141230.8</v>
      </c>
      <c r="W118" s="108">
        <f t="shared" si="36"/>
        <v>-480501368.4</v>
      </c>
      <c r="X118" s="108">
        <f t="shared" si="36"/>
        <v>-508107991.2</v>
      </c>
      <c r="Y118" s="108">
        <f t="shared" si="36"/>
        <v>-538108166.9</v>
      </c>
      <c r="Z118" s="108">
        <f t="shared" si="36"/>
        <v>-570665626.1</v>
      </c>
    </row>
    <row r="119" ht="15.0" hidden="1" customHeight="1" outlineLevel="1">
      <c r="A119" s="107" t="s">
        <v>638</v>
      </c>
      <c r="B119" s="108">
        <f>$J$84+B118</f>
        <v>1100000000</v>
      </c>
      <c r="C119" s="108">
        <f t="shared" ref="C119:Z119" si="37">B119+C118</f>
        <v>765440102</v>
      </c>
      <c r="D119" s="108">
        <f t="shared" si="37"/>
        <v>445539499</v>
      </c>
      <c r="E119" s="108">
        <f t="shared" si="37"/>
        <v>136697321.4</v>
      </c>
      <c r="F119" s="108">
        <f t="shared" si="37"/>
        <v>-164259327.7</v>
      </c>
      <c r="G119" s="108">
        <f t="shared" si="37"/>
        <v>-460148541.4</v>
      </c>
      <c r="H119" s="108">
        <f t="shared" si="37"/>
        <v>-753496520.1</v>
      </c>
      <c r="I119" s="108">
        <f t="shared" si="37"/>
        <v>-1046591821</v>
      </c>
      <c r="J119" s="108">
        <f t="shared" si="37"/>
        <v>-1341532306</v>
      </c>
      <c r="K119" s="108">
        <f t="shared" si="37"/>
        <v>-1640265958</v>
      </c>
      <c r="L119" s="108">
        <f t="shared" si="37"/>
        <v>-1944626540</v>
      </c>
      <c r="M119" s="108">
        <f t="shared" si="37"/>
        <v>-2256364970</v>
      </c>
      <c r="N119" s="108">
        <f t="shared" si="37"/>
        <v>-2577177127</v>
      </c>
      <c r="O119" s="108">
        <f t="shared" si="37"/>
        <v>-2908728710</v>
      </c>
      <c r="P119" s="108">
        <f t="shared" si="37"/>
        <v>-3252677706</v>
      </c>
      <c r="Q119" s="108">
        <f t="shared" si="37"/>
        <v>-3610694914</v>
      </c>
      <c r="R119" s="108">
        <f t="shared" si="37"/>
        <v>-3984482949</v>
      </c>
      <c r="S119" s="108">
        <f t="shared" si="37"/>
        <v>-4375794058</v>
      </c>
      <c r="T119" s="108">
        <f t="shared" si="37"/>
        <v>-4786447083</v>
      </c>
      <c r="U119" s="108">
        <f t="shared" si="37"/>
        <v>-5218343822</v>
      </c>
      <c r="V119" s="108">
        <f t="shared" si="37"/>
        <v>-5673485053</v>
      </c>
      <c r="W119" s="108">
        <f t="shared" si="37"/>
        <v>-6153986421</v>
      </c>
      <c r="X119" s="108">
        <f t="shared" si="37"/>
        <v>-6662094413</v>
      </c>
      <c r="Y119" s="108">
        <f t="shared" si="37"/>
        <v>-7200202579</v>
      </c>
      <c r="Z119" s="108">
        <f t="shared" si="37"/>
        <v>-7770868206</v>
      </c>
    </row>
    <row r="120" ht="15.0" hidden="1" customHeight="1" outlineLevel="1">
      <c r="A120" s="107" t="s">
        <v>639</v>
      </c>
      <c r="B120" s="108">
        <f>B118</f>
        <v>-400000000</v>
      </c>
      <c r="C120" s="108">
        <f t="shared" ref="C120:Z120" si="38">B120+C118</f>
        <v>-734559898</v>
      </c>
      <c r="D120" s="108">
        <f t="shared" si="38"/>
        <v>-1054460501</v>
      </c>
      <c r="E120" s="108">
        <f t="shared" si="38"/>
        <v>-1363302679</v>
      </c>
      <c r="F120" s="108">
        <f t="shared" si="38"/>
        <v>-1664259328</v>
      </c>
      <c r="G120" s="108">
        <f t="shared" si="38"/>
        <v>-1960148541</v>
      </c>
      <c r="H120" s="108">
        <f t="shared" si="38"/>
        <v>-2253496520</v>
      </c>
      <c r="I120" s="108">
        <f t="shared" si="38"/>
        <v>-2546591821</v>
      </c>
      <c r="J120" s="108">
        <f t="shared" si="38"/>
        <v>-2841532306</v>
      </c>
      <c r="K120" s="108">
        <f t="shared" si="38"/>
        <v>-3140265958</v>
      </c>
      <c r="L120" s="108">
        <f t="shared" si="38"/>
        <v>-3444626540</v>
      </c>
      <c r="M120" s="108">
        <f t="shared" si="38"/>
        <v>-3756364970</v>
      </c>
      <c r="N120" s="108">
        <f t="shared" si="38"/>
        <v>-4077177127</v>
      </c>
      <c r="O120" s="108">
        <f t="shared" si="38"/>
        <v>-4408728710</v>
      </c>
      <c r="P120" s="108">
        <f t="shared" si="38"/>
        <v>-4752677706</v>
      </c>
      <c r="Q120" s="108">
        <f t="shared" si="38"/>
        <v>-5110694914</v>
      </c>
      <c r="R120" s="108">
        <f t="shared" si="38"/>
        <v>-5484482949</v>
      </c>
      <c r="S120" s="108">
        <f t="shared" si="38"/>
        <v>-5875794058</v>
      </c>
      <c r="T120" s="108">
        <f t="shared" si="38"/>
        <v>-6286447083</v>
      </c>
      <c r="U120" s="108">
        <f t="shared" si="38"/>
        <v>-6718343822</v>
      </c>
      <c r="V120" s="108">
        <f t="shared" si="38"/>
        <v>-7173485053</v>
      </c>
      <c r="W120" s="108">
        <f t="shared" si="38"/>
        <v>-7653986421</v>
      </c>
      <c r="X120" s="108">
        <f t="shared" si="38"/>
        <v>-8162094413</v>
      </c>
      <c r="Y120" s="108">
        <f t="shared" si="38"/>
        <v>-8700202579</v>
      </c>
      <c r="Z120" s="108">
        <f t="shared" si="38"/>
        <v>-9270868206</v>
      </c>
    </row>
    <row r="121" ht="15.0" hidden="1" customHeight="1" outlineLevel="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0" hidden="1" customHeight="1" outlineLevel="1">
      <c r="A122" s="107" t="s">
        <v>640</v>
      </c>
      <c r="B122" s="3"/>
      <c r="C122" s="109">
        <f>$D$85*(1+$E$85)^0</f>
        <v>240</v>
      </c>
      <c r="D122" s="109">
        <f>$D$85*(1+$E$85)^1</f>
        <v>259.2</v>
      </c>
      <c r="E122" s="109">
        <f>$D$85*(1+$E$85)^2</f>
        <v>279.936</v>
      </c>
      <c r="F122" s="109">
        <f>$D$85*(1+$E$85)^3</f>
        <v>302.33088</v>
      </c>
      <c r="G122" s="109">
        <f>$D$85*(1+$E$85)^4</f>
        <v>326.5173504</v>
      </c>
      <c r="H122" s="109">
        <f>$D$85*(1+$E$85)^5</f>
        <v>352.6387384</v>
      </c>
      <c r="I122" s="109">
        <f>$D$85*(1+$E$85)^6</f>
        <v>380.8498375</v>
      </c>
      <c r="J122" s="109">
        <f>$D$85*(1+$E$85)^7</f>
        <v>411.3178245</v>
      </c>
      <c r="K122" s="109">
        <f>$D$85*(1+$E$85)^8</f>
        <v>444.2232505</v>
      </c>
      <c r="L122" s="109">
        <f>$D$85*(1+$E$85)^9</f>
        <v>479.7611105</v>
      </c>
      <c r="M122" s="109">
        <f>$D$85*(1+$E$85)^10</f>
        <v>518.1419993</v>
      </c>
      <c r="N122" s="109">
        <f>$D$85*(1+$E$85)^11</f>
        <v>559.5933593</v>
      </c>
      <c r="O122" s="109">
        <f>$D$85*(1+$E$85)^12</f>
        <v>604.360828</v>
      </c>
      <c r="P122" s="109">
        <f>$D$85*(1+$E$85)^13</f>
        <v>652.7096943</v>
      </c>
      <c r="Q122" s="109">
        <f>$D$85*(1+$E$85)^14</f>
        <v>704.9264698</v>
      </c>
      <c r="R122" s="109">
        <f>$D$85*(1+$E$85)^15</f>
        <v>761.3205874</v>
      </c>
      <c r="S122" s="109">
        <f>$D$85*(1+$E$85)^16</f>
        <v>822.2262344</v>
      </c>
      <c r="T122" s="109">
        <f>$D$85*(1+$E$85)^17</f>
        <v>888.0043332</v>
      </c>
      <c r="U122" s="109">
        <f>$D$85*(1+$E$85)^18</f>
        <v>959.0446798</v>
      </c>
      <c r="V122" s="109">
        <f>$D$85*(1+$E$85)^19</f>
        <v>1035.768254</v>
      </c>
      <c r="W122" s="109">
        <f>$D$85*(1+$E$85)^20</f>
        <v>1118.629715</v>
      </c>
      <c r="X122" s="109">
        <f>$D$85*(1+$E$85)^21</f>
        <v>1208.120092</v>
      </c>
      <c r="Y122" s="109">
        <f>$D$85*(1+$E$85)^22</f>
        <v>1304.769699</v>
      </c>
      <c r="Z122" s="109">
        <f>$D$85*(1+$E$85)^23</f>
        <v>1409.151275</v>
      </c>
    </row>
    <row r="123" ht="15.0" hidden="1" customHeight="1" outlineLevel="1">
      <c r="A123" s="107" t="s">
        <v>641</v>
      </c>
      <c r="B123" s="107">
        <v>0.0</v>
      </c>
      <c r="C123" s="109">
        <f t="shared" ref="C123:Z123" si="39">B123*(1-$F$85)+C122</f>
        <v>240</v>
      </c>
      <c r="D123" s="109">
        <f t="shared" si="39"/>
        <v>463.2</v>
      </c>
      <c r="E123" s="109">
        <f t="shared" si="39"/>
        <v>673.656</v>
      </c>
      <c r="F123" s="109">
        <f t="shared" si="39"/>
        <v>874.93848</v>
      </c>
      <c r="G123" s="109">
        <f t="shared" si="39"/>
        <v>1070.215058</v>
      </c>
      <c r="H123" s="109">
        <f t="shared" si="39"/>
        <v>1262.321538</v>
      </c>
      <c r="I123" s="109">
        <f t="shared" si="39"/>
        <v>1453.823145</v>
      </c>
      <c r="J123" s="109">
        <f t="shared" si="39"/>
        <v>1647.067498</v>
      </c>
      <c r="K123" s="109">
        <f t="shared" si="39"/>
        <v>1844.230623</v>
      </c>
      <c r="L123" s="109">
        <f t="shared" si="39"/>
        <v>2047.35714</v>
      </c>
      <c r="M123" s="109">
        <f t="shared" si="39"/>
        <v>2258.395569</v>
      </c>
      <c r="N123" s="109">
        <f t="shared" si="39"/>
        <v>2479.229593</v>
      </c>
      <c r="O123" s="109">
        <f t="shared" si="39"/>
        <v>2711.705982</v>
      </c>
      <c r="P123" s="109">
        <f t="shared" si="39"/>
        <v>2957.659779</v>
      </c>
      <c r="Q123" s="109">
        <f t="shared" si="39"/>
        <v>3218.937282</v>
      </c>
      <c r="R123" s="109">
        <f t="shared" si="39"/>
        <v>3497.417277</v>
      </c>
      <c r="S123" s="109">
        <f t="shared" si="39"/>
        <v>3795.03092</v>
      </c>
      <c r="T123" s="109">
        <f t="shared" si="39"/>
        <v>4113.780615</v>
      </c>
      <c r="U123" s="109">
        <f t="shared" si="39"/>
        <v>4455.758203</v>
      </c>
      <c r="V123" s="109">
        <f t="shared" si="39"/>
        <v>4823.162726</v>
      </c>
      <c r="W123" s="109">
        <f t="shared" si="39"/>
        <v>5218.318032</v>
      </c>
      <c r="X123" s="109">
        <f t="shared" si="39"/>
        <v>5643.690419</v>
      </c>
      <c r="Y123" s="109">
        <f t="shared" si="39"/>
        <v>6101.906555</v>
      </c>
      <c r="Z123" s="109">
        <f t="shared" si="39"/>
        <v>6595.771847</v>
      </c>
    </row>
    <row r="124" ht="15.0" hidden="1" customHeight="1" outlineLevel="1">
      <c r="A124" s="107" t="s">
        <v>642</v>
      </c>
      <c r="B124" s="108">
        <f>-$I$85</f>
        <v>-400000000</v>
      </c>
      <c r="C124" s="108">
        <f t="shared" ref="C124:Z124" si="40">C123*($B$85-$C$85)-C122*$G$85-$H$85</f>
        <v>-258047918.4</v>
      </c>
      <c r="D124" s="108">
        <f t="shared" si="40"/>
        <v>-243632482.4</v>
      </c>
      <c r="E124" s="108">
        <f t="shared" si="40"/>
        <v>-231882702</v>
      </c>
      <c r="F124" s="108">
        <f t="shared" si="40"/>
        <v>-222438996.1</v>
      </c>
      <c r="G124" s="108">
        <f t="shared" si="40"/>
        <v>-214998941.9</v>
      </c>
      <c r="H124" s="108">
        <f t="shared" si="40"/>
        <v>-209308959.6</v>
      </c>
      <c r="I124" s="108">
        <f t="shared" si="40"/>
        <v>-205157263.2</v>
      </c>
      <c r="J124" s="108">
        <f t="shared" si="40"/>
        <v>-202367893.2</v>
      </c>
      <c r="K124" s="108">
        <f t="shared" si="40"/>
        <v>-200795666.2</v>
      </c>
      <c r="L124" s="108">
        <f t="shared" si="40"/>
        <v>-200321909.8</v>
      </c>
      <c r="M124" s="108">
        <f t="shared" si="40"/>
        <v>-200850864.3</v>
      </c>
      <c r="N124" s="108">
        <f t="shared" si="40"/>
        <v>-202306655</v>
      </c>
      <c r="O124" s="108">
        <f t="shared" si="40"/>
        <v>-204630750.7</v>
      </c>
      <c r="P124" s="108">
        <f t="shared" si="40"/>
        <v>-207779839.5</v>
      </c>
      <c r="Q124" s="108">
        <f t="shared" si="40"/>
        <v>-211724061.1</v>
      </c>
      <c r="R124" s="108">
        <f t="shared" si="40"/>
        <v>-216445545.3</v>
      </c>
      <c r="S124" s="108">
        <f t="shared" si="40"/>
        <v>-221937214.4</v>
      </c>
      <c r="T124" s="108">
        <f t="shared" si="40"/>
        <v>-228201813.1</v>
      </c>
      <c r="U124" s="108">
        <f t="shared" si="40"/>
        <v>-235251136.5</v>
      </c>
      <c r="V124" s="108">
        <f t="shared" si="40"/>
        <v>-243105429</v>
      </c>
      <c r="W124" s="108">
        <f t="shared" si="40"/>
        <v>-251792934.7</v>
      </c>
      <c r="X124" s="108">
        <f t="shared" si="40"/>
        <v>-261349580.2</v>
      </c>
      <c r="Y124" s="108">
        <f t="shared" si="40"/>
        <v>-271818775.6</v>
      </c>
      <c r="Z124" s="108">
        <f t="shared" si="40"/>
        <v>-283251322.4</v>
      </c>
    </row>
    <row r="125" ht="15.0" hidden="1" customHeight="1" outlineLevel="1">
      <c r="A125" s="107" t="s">
        <v>643</v>
      </c>
      <c r="B125" s="108">
        <f>$J$85+B124</f>
        <v>1100000000</v>
      </c>
      <c r="C125" s="108">
        <f t="shared" ref="C125:Z125" si="41">B125+C124</f>
        <v>841952081.6</v>
      </c>
      <c r="D125" s="108">
        <f t="shared" si="41"/>
        <v>598319599.2</v>
      </c>
      <c r="E125" s="108">
        <f t="shared" si="41"/>
        <v>366436897.2</v>
      </c>
      <c r="F125" s="108">
        <f t="shared" si="41"/>
        <v>143997901.1</v>
      </c>
      <c r="G125" s="108">
        <f t="shared" si="41"/>
        <v>-71001040.87</v>
      </c>
      <c r="H125" s="108">
        <f t="shared" si="41"/>
        <v>-280310000.4</v>
      </c>
      <c r="I125" s="108">
        <f t="shared" si="41"/>
        <v>-485467263.7</v>
      </c>
      <c r="J125" s="108">
        <f t="shared" si="41"/>
        <v>-687835156.9</v>
      </c>
      <c r="K125" s="108">
        <f t="shared" si="41"/>
        <v>-888630823</v>
      </c>
      <c r="L125" s="108">
        <f t="shared" si="41"/>
        <v>-1088952733</v>
      </c>
      <c r="M125" s="108">
        <f t="shared" si="41"/>
        <v>-1289803597</v>
      </c>
      <c r="N125" s="108">
        <f t="shared" si="41"/>
        <v>-1492110252</v>
      </c>
      <c r="O125" s="108">
        <f t="shared" si="41"/>
        <v>-1696741003</v>
      </c>
      <c r="P125" s="108">
        <f t="shared" si="41"/>
        <v>-1904520842</v>
      </c>
      <c r="Q125" s="108">
        <f t="shared" si="41"/>
        <v>-2116244904</v>
      </c>
      <c r="R125" s="108">
        <f t="shared" si="41"/>
        <v>-2332690449</v>
      </c>
      <c r="S125" s="108">
        <f t="shared" si="41"/>
        <v>-2554627663</v>
      </c>
      <c r="T125" s="108">
        <f t="shared" si="41"/>
        <v>-2782829476</v>
      </c>
      <c r="U125" s="108">
        <f t="shared" si="41"/>
        <v>-3018080613</v>
      </c>
      <c r="V125" s="108">
        <f t="shared" si="41"/>
        <v>-3261186042</v>
      </c>
      <c r="W125" s="108">
        <f t="shared" si="41"/>
        <v>-3512978977</v>
      </c>
      <c r="X125" s="108">
        <f t="shared" si="41"/>
        <v>-3774328557</v>
      </c>
      <c r="Y125" s="108">
        <f t="shared" si="41"/>
        <v>-4046147332</v>
      </c>
      <c r="Z125" s="108">
        <f t="shared" si="41"/>
        <v>-4329398655</v>
      </c>
    </row>
    <row r="126" ht="15.0" hidden="1" customHeight="1" outlineLevel="1">
      <c r="A126" s="107" t="s">
        <v>644</v>
      </c>
      <c r="B126" s="108">
        <f>B124</f>
        <v>-400000000</v>
      </c>
      <c r="C126" s="108">
        <f t="shared" ref="C126:Z126" si="42">B126+C124</f>
        <v>-658047918.4</v>
      </c>
      <c r="D126" s="108">
        <f t="shared" si="42"/>
        <v>-901680400.8</v>
      </c>
      <c r="E126" s="108">
        <f t="shared" si="42"/>
        <v>-1133563103</v>
      </c>
      <c r="F126" s="108">
        <f t="shared" si="42"/>
        <v>-1356002099</v>
      </c>
      <c r="G126" s="108">
        <f t="shared" si="42"/>
        <v>-1571001041</v>
      </c>
      <c r="H126" s="108">
        <f t="shared" si="42"/>
        <v>-1780310000</v>
      </c>
      <c r="I126" s="108">
        <f t="shared" si="42"/>
        <v>-1985467264</v>
      </c>
      <c r="J126" s="108">
        <f t="shared" si="42"/>
        <v>-2187835157</v>
      </c>
      <c r="K126" s="108">
        <f t="shared" si="42"/>
        <v>-2388630823</v>
      </c>
      <c r="L126" s="108">
        <f t="shared" si="42"/>
        <v>-2588952733</v>
      </c>
      <c r="M126" s="108">
        <f t="shared" si="42"/>
        <v>-2789803597</v>
      </c>
      <c r="N126" s="108">
        <f t="shared" si="42"/>
        <v>-2992110252</v>
      </c>
      <c r="O126" s="108">
        <f t="shared" si="42"/>
        <v>-3196741003</v>
      </c>
      <c r="P126" s="108">
        <f t="shared" si="42"/>
        <v>-3404520842</v>
      </c>
      <c r="Q126" s="108">
        <f t="shared" si="42"/>
        <v>-3616244904</v>
      </c>
      <c r="R126" s="108">
        <f t="shared" si="42"/>
        <v>-3832690449</v>
      </c>
      <c r="S126" s="108">
        <f t="shared" si="42"/>
        <v>-4054627663</v>
      </c>
      <c r="T126" s="108">
        <f t="shared" si="42"/>
        <v>-4282829476</v>
      </c>
      <c r="U126" s="108">
        <f t="shared" si="42"/>
        <v>-4518080613</v>
      </c>
      <c r="V126" s="108">
        <f t="shared" si="42"/>
        <v>-4761186042</v>
      </c>
      <c r="W126" s="108">
        <f t="shared" si="42"/>
        <v>-5012978977</v>
      </c>
      <c r="X126" s="108">
        <f t="shared" si="42"/>
        <v>-5274328557</v>
      </c>
      <c r="Y126" s="108">
        <f t="shared" si="42"/>
        <v>-5546147332</v>
      </c>
      <c r="Z126" s="108">
        <f t="shared" si="42"/>
        <v>-5829398655</v>
      </c>
    </row>
    <row r="127" ht="15.0" hidden="1" customHeight="1" outlineLevel="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0" hidden="1" customHeight="1" outlineLevel="1">
      <c r="A128" s="107" t="s">
        <v>645</v>
      </c>
      <c r="B128" s="3"/>
      <c r="C128" s="109">
        <f>$D$86*(1+$E$86)^0</f>
        <v>300</v>
      </c>
      <c r="D128" s="109">
        <f>$D$86*(1+$E$86)^1</f>
        <v>319.2</v>
      </c>
      <c r="E128" s="109">
        <f>$D$86*(1+$E$86)^2</f>
        <v>339.6288</v>
      </c>
      <c r="F128" s="109">
        <f>$D$86*(1+$E$86)^3</f>
        <v>361.3650432</v>
      </c>
      <c r="G128" s="109">
        <f>$D$86*(1+$E$86)^4</f>
        <v>384.492406</v>
      </c>
      <c r="H128" s="109">
        <f>$D$86*(1+$E$86)^5</f>
        <v>409.0999199</v>
      </c>
      <c r="I128" s="109">
        <f>$D$86*(1+$E$86)^6</f>
        <v>435.2823148</v>
      </c>
      <c r="J128" s="109">
        <f>$D$86*(1+$E$86)^7</f>
        <v>463.140383</v>
      </c>
      <c r="K128" s="109">
        <f>$D$86*(1+$E$86)^8</f>
        <v>492.7813675</v>
      </c>
      <c r="L128" s="109">
        <f>$D$86*(1+$E$86)^9</f>
        <v>524.319375</v>
      </c>
      <c r="M128" s="109">
        <f>$D$86*(1+$E$86)^10</f>
        <v>557.875815</v>
      </c>
      <c r="N128" s="109">
        <f>$D$86*(1+$E$86)^11</f>
        <v>593.5798672</v>
      </c>
      <c r="O128" s="109">
        <f>$D$86*(1+$E$86)^12</f>
        <v>631.5689787</v>
      </c>
      <c r="P128" s="109">
        <f>$D$86*(1+$E$86)^13</f>
        <v>671.9893933</v>
      </c>
      <c r="Q128" s="109">
        <f>$D$86*(1+$E$86)^14</f>
        <v>714.9967145</v>
      </c>
      <c r="R128" s="109">
        <f>$D$86*(1+$E$86)^15</f>
        <v>760.7565042</v>
      </c>
      <c r="S128" s="109">
        <f>$D$86*(1+$E$86)^16</f>
        <v>809.4449205</v>
      </c>
      <c r="T128" s="109">
        <f>$D$86*(1+$E$86)^17</f>
        <v>861.2493954</v>
      </c>
      <c r="U128" s="109">
        <f>$D$86*(1+$E$86)^18</f>
        <v>916.3693567</v>
      </c>
      <c r="V128" s="109">
        <f>$D$86*(1+$E$86)^19</f>
        <v>975.0169955</v>
      </c>
      <c r="W128" s="109">
        <f>$D$86*(1+$E$86)^20</f>
        <v>1037.418083</v>
      </c>
      <c r="X128" s="109">
        <f>$D$86*(1+$E$86)^21</f>
        <v>1103.812841</v>
      </c>
      <c r="Y128" s="109">
        <f>$D$86*(1+$E$86)^22</f>
        <v>1174.456862</v>
      </c>
      <c r="Z128" s="109">
        <f>$D$86*(1+$E$86)^23</f>
        <v>1249.622102</v>
      </c>
    </row>
    <row r="129" ht="15.0" hidden="1" customHeight="1" outlineLevel="1">
      <c r="A129" s="107" t="s">
        <v>646</v>
      </c>
      <c r="B129" s="107">
        <v>0.0</v>
      </c>
      <c r="C129" s="109">
        <f t="shared" ref="C129:Z129" si="43">B129*(1-$F$86)+C128</f>
        <v>300</v>
      </c>
      <c r="D129" s="109">
        <f t="shared" si="43"/>
        <v>574.2</v>
      </c>
      <c r="E129" s="109">
        <f t="shared" si="43"/>
        <v>827.6988</v>
      </c>
      <c r="F129" s="109">
        <f t="shared" si="43"/>
        <v>1064.909023</v>
      </c>
      <c r="G129" s="109">
        <f t="shared" si="43"/>
        <v>1289.665076</v>
      </c>
      <c r="H129" s="109">
        <f t="shared" si="43"/>
        <v>1505.315234</v>
      </c>
      <c r="I129" s="109">
        <f t="shared" si="43"/>
        <v>1714.800264</v>
      </c>
      <c r="J129" s="109">
        <f t="shared" si="43"/>
        <v>1920.720607</v>
      </c>
      <c r="K129" s="109">
        <f t="shared" si="43"/>
        <v>2125.393884</v>
      </c>
      <c r="L129" s="109">
        <f t="shared" si="43"/>
        <v>2330.904176</v>
      </c>
      <c r="M129" s="109">
        <f t="shared" si="43"/>
        <v>2539.144365</v>
      </c>
      <c r="N129" s="109">
        <f t="shared" si="43"/>
        <v>2751.852577</v>
      </c>
      <c r="O129" s="109">
        <f t="shared" si="43"/>
        <v>2970.643669</v>
      </c>
      <c r="P129" s="109">
        <f t="shared" si="43"/>
        <v>3197.036512</v>
      </c>
      <c r="Q129" s="109">
        <f t="shared" si="43"/>
        <v>3432.47775</v>
      </c>
      <c r="R129" s="109">
        <f t="shared" si="43"/>
        <v>3678.362592</v>
      </c>
      <c r="S129" s="109">
        <f t="shared" si="43"/>
        <v>3936.053123</v>
      </c>
      <c r="T129" s="109">
        <f t="shared" si="43"/>
        <v>4206.89455</v>
      </c>
      <c r="U129" s="109">
        <f t="shared" si="43"/>
        <v>4492.229724</v>
      </c>
      <c r="V129" s="109">
        <f t="shared" si="43"/>
        <v>4793.412261</v>
      </c>
      <c r="W129" s="109">
        <f t="shared" si="43"/>
        <v>5111.818505</v>
      </c>
      <c r="X129" s="109">
        <f t="shared" si="43"/>
        <v>5448.85857</v>
      </c>
      <c r="Y129" s="109">
        <f t="shared" si="43"/>
        <v>5805.986647</v>
      </c>
      <c r="Z129" s="109">
        <f t="shared" si="43"/>
        <v>6184.710751</v>
      </c>
    </row>
    <row r="130" ht="15.0" hidden="1" customHeight="1" outlineLevel="1">
      <c r="A130" s="107" t="s">
        <v>647</v>
      </c>
      <c r="B130" s="108">
        <f>-$I$86</f>
        <v>-400000000</v>
      </c>
      <c r="C130" s="108">
        <f t="shared" ref="C130:Z130" si="44">C129*($B$86-$C$86)-C128*$G$86-$H$86</f>
        <v>-292559898</v>
      </c>
      <c r="D130" s="108">
        <f t="shared" si="44"/>
        <v>-271779644.7</v>
      </c>
      <c r="E130" s="108">
        <f t="shared" si="44"/>
        <v>-254443068.2</v>
      </c>
      <c r="F130" s="108">
        <f t="shared" si="44"/>
        <v>-240054521.9</v>
      </c>
      <c r="G130" s="108">
        <f t="shared" si="44"/>
        <v>-228194044</v>
      </c>
      <c r="H130" s="108">
        <f t="shared" si="44"/>
        <v>-218506090.7</v>
      </c>
      <c r="I130" s="108">
        <f t="shared" si="44"/>
        <v>-210689964.1</v>
      </c>
      <c r="J130" s="108">
        <f t="shared" si="44"/>
        <v>-204491682.9</v>
      </c>
      <c r="K130" s="108">
        <f t="shared" si="44"/>
        <v>-199697077.6</v>
      </c>
      <c r="L130" s="108">
        <f t="shared" si="44"/>
        <v>-196125928.4</v>
      </c>
      <c r="M130" s="108">
        <f t="shared" si="44"/>
        <v>-193626990.1</v>
      </c>
      <c r="N130" s="108">
        <f t="shared" si="44"/>
        <v>-192073769.3</v>
      </c>
      <c r="O130" s="108">
        <f t="shared" si="44"/>
        <v>-191360944.6</v>
      </c>
      <c r="P130" s="108">
        <f t="shared" si="44"/>
        <v>-191401331.1</v>
      </c>
      <c r="Q130" s="108">
        <f t="shared" si="44"/>
        <v>-192123309.4</v>
      </c>
      <c r="R130" s="108">
        <f t="shared" si="44"/>
        <v>-193468650.3</v>
      </c>
      <c r="S130" s="108">
        <f t="shared" si="44"/>
        <v>-195390675.7</v>
      </c>
      <c r="T130" s="108">
        <f t="shared" si="44"/>
        <v>-197852705.9</v>
      </c>
      <c r="U130" s="108">
        <f t="shared" si="44"/>
        <v>-200826752</v>
      </c>
      <c r="V130" s="108">
        <f t="shared" si="44"/>
        <v>-204292416.1</v>
      </c>
      <c r="W130" s="108">
        <f t="shared" si="44"/>
        <v>-208235970</v>
      </c>
      <c r="X130" s="108">
        <f t="shared" si="44"/>
        <v>-212649585.4</v>
      </c>
      <c r="Y130" s="108">
        <f t="shared" si="44"/>
        <v>-217530695.1</v>
      </c>
      <c r="Z130" s="108">
        <f t="shared" si="44"/>
        <v>-222881465.5</v>
      </c>
    </row>
    <row r="131" ht="15.0" hidden="1" customHeight="1" outlineLevel="1">
      <c r="A131" s="107" t="s">
        <v>648</v>
      </c>
      <c r="B131" s="108">
        <f>$J$86+B130</f>
        <v>1100000000</v>
      </c>
      <c r="C131" s="108">
        <f t="shared" ref="C131:Z131" si="45">B131+C130</f>
        <v>807440102</v>
      </c>
      <c r="D131" s="108">
        <f t="shared" si="45"/>
        <v>535660457.4</v>
      </c>
      <c r="E131" s="108">
        <f t="shared" si="45"/>
        <v>281217389.2</v>
      </c>
      <c r="F131" s="108">
        <f t="shared" si="45"/>
        <v>41162867.25</v>
      </c>
      <c r="G131" s="108">
        <f t="shared" si="45"/>
        <v>-187031176.8</v>
      </c>
      <c r="H131" s="108">
        <f t="shared" si="45"/>
        <v>-405537267.5</v>
      </c>
      <c r="I131" s="108">
        <f t="shared" si="45"/>
        <v>-616227231.6</v>
      </c>
      <c r="J131" s="108">
        <f t="shared" si="45"/>
        <v>-820718914.5</v>
      </c>
      <c r="K131" s="108">
        <f t="shared" si="45"/>
        <v>-1020415992</v>
      </c>
      <c r="L131" s="108">
        <f t="shared" si="45"/>
        <v>-1216541921</v>
      </c>
      <c r="M131" s="108">
        <f t="shared" si="45"/>
        <v>-1410168911</v>
      </c>
      <c r="N131" s="108">
        <f t="shared" si="45"/>
        <v>-1602242680</v>
      </c>
      <c r="O131" s="108">
        <f t="shared" si="45"/>
        <v>-1793603625</v>
      </c>
      <c r="P131" s="108">
        <f t="shared" si="45"/>
        <v>-1985004956</v>
      </c>
      <c r="Q131" s="108">
        <f t="shared" si="45"/>
        <v>-2177128265</v>
      </c>
      <c r="R131" s="108">
        <f t="shared" si="45"/>
        <v>-2370596915</v>
      </c>
      <c r="S131" s="108">
        <f t="shared" si="45"/>
        <v>-2565987591</v>
      </c>
      <c r="T131" s="108">
        <f t="shared" si="45"/>
        <v>-2763840297</v>
      </c>
      <c r="U131" s="108">
        <f t="shared" si="45"/>
        <v>-2964667049</v>
      </c>
      <c r="V131" s="108">
        <f t="shared" si="45"/>
        <v>-3168959465</v>
      </c>
      <c r="W131" s="108">
        <f t="shared" si="45"/>
        <v>-3377195435</v>
      </c>
      <c r="X131" s="108">
        <f t="shared" si="45"/>
        <v>-3589845020</v>
      </c>
      <c r="Y131" s="108">
        <f t="shared" si="45"/>
        <v>-3807375715</v>
      </c>
      <c r="Z131" s="108">
        <f t="shared" si="45"/>
        <v>-4030257181</v>
      </c>
    </row>
    <row r="132" ht="15.0" hidden="1" customHeight="1" outlineLevel="1">
      <c r="A132" s="107" t="s">
        <v>649</v>
      </c>
      <c r="B132" s="108">
        <f>B130</f>
        <v>-400000000</v>
      </c>
      <c r="C132" s="108">
        <f t="shared" ref="C132:Z132" si="46">B132+C130</f>
        <v>-692559898</v>
      </c>
      <c r="D132" s="108">
        <f t="shared" si="46"/>
        <v>-964339542.6</v>
      </c>
      <c r="E132" s="108">
        <f t="shared" si="46"/>
        <v>-1218782611</v>
      </c>
      <c r="F132" s="108">
        <f t="shared" si="46"/>
        <v>-1458837133</v>
      </c>
      <c r="G132" s="108">
        <f t="shared" si="46"/>
        <v>-1687031177</v>
      </c>
      <c r="H132" s="108">
        <f t="shared" si="46"/>
        <v>-1905537267</v>
      </c>
      <c r="I132" s="108">
        <f t="shared" si="46"/>
        <v>-2116227232</v>
      </c>
      <c r="J132" s="108">
        <f t="shared" si="46"/>
        <v>-2320718915</v>
      </c>
      <c r="K132" s="108">
        <f t="shared" si="46"/>
        <v>-2520415992</v>
      </c>
      <c r="L132" s="108">
        <f t="shared" si="46"/>
        <v>-2716541921</v>
      </c>
      <c r="M132" s="108">
        <f t="shared" si="46"/>
        <v>-2910168911</v>
      </c>
      <c r="N132" s="108">
        <f t="shared" si="46"/>
        <v>-3102242680</v>
      </c>
      <c r="O132" s="108">
        <f t="shared" si="46"/>
        <v>-3293603625</v>
      </c>
      <c r="P132" s="108">
        <f t="shared" si="46"/>
        <v>-3485004956</v>
      </c>
      <c r="Q132" s="108">
        <f t="shared" si="46"/>
        <v>-3677128265</v>
      </c>
      <c r="R132" s="108">
        <f t="shared" si="46"/>
        <v>-3870596915</v>
      </c>
      <c r="S132" s="108">
        <f t="shared" si="46"/>
        <v>-4065987591</v>
      </c>
      <c r="T132" s="108">
        <f t="shared" si="46"/>
        <v>-4263840297</v>
      </c>
      <c r="U132" s="108">
        <f t="shared" si="46"/>
        <v>-4464667049</v>
      </c>
      <c r="V132" s="108">
        <f t="shared" si="46"/>
        <v>-4668959465</v>
      </c>
      <c r="W132" s="108">
        <f t="shared" si="46"/>
        <v>-4877195435</v>
      </c>
      <c r="X132" s="108">
        <f t="shared" si="46"/>
        <v>-5089845020</v>
      </c>
      <c r="Y132" s="108">
        <f t="shared" si="46"/>
        <v>-5307375715</v>
      </c>
      <c r="Z132" s="108">
        <f t="shared" si="46"/>
        <v>-5530257181</v>
      </c>
    </row>
    <row r="133" ht="15.0" hidden="1" customHeight="1" outlineLevel="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0" hidden="1" customHeight="1" outlineLevel="1">
      <c r="A134" s="107" t="s">
        <v>650</v>
      </c>
      <c r="B134" s="3"/>
      <c r="C134" s="109">
        <f>$D$87*(1+$E$87)^0</f>
        <v>300</v>
      </c>
      <c r="D134" s="109">
        <f>$D$87*(1+$E$87)^1</f>
        <v>324</v>
      </c>
      <c r="E134" s="109">
        <f>$D$87*(1+$E$87)^2</f>
        <v>349.92</v>
      </c>
      <c r="F134" s="109">
        <f>$D$87*(1+$E$87)^3</f>
        <v>377.9136</v>
      </c>
      <c r="G134" s="109">
        <f>$D$87*(1+$E$87)^4</f>
        <v>408.146688</v>
      </c>
      <c r="H134" s="109">
        <f>$D$87*(1+$E$87)^5</f>
        <v>440.798423</v>
      </c>
      <c r="I134" s="109">
        <f>$D$87*(1+$E$87)^6</f>
        <v>476.0622969</v>
      </c>
      <c r="J134" s="109">
        <f>$D$87*(1+$E$87)^7</f>
        <v>514.1472806</v>
      </c>
      <c r="K134" s="109">
        <f>$D$87*(1+$E$87)^8</f>
        <v>555.2790631</v>
      </c>
      <c r="L134" s="109">
        <f>$D$87*(1+$E$87)^9</f>
        <v>599.7013881</v>
      </c>
      <c r="M134" s="109">
        <f>$D$87*(1+$E$87)^10</f>
        <v>647.6774992</v>
      </c>
      <c r="N134" s="109">
        <f>$D$87*(1+$E$87)^11</f>
        <v>699.4916991</v>
      </c>
      <c r="O134" s="109">
        <f>$D$87*(1+$E$87)^12</f>
        <v>755.451035</v>
      </c>
      <c r="P134" s="109">
        <f>$D$87*(1+$E$87)^13</f>
        <v>815.8871178</v>
      </c>
      <c r="Q134" s="109">
        <f>$D$87*(1+$E$87)^14</f>
        <v>881.1580873</v>
      </c>
      <c r="R134" s="109">
        <f>$D$87*(1+$E$87)^15</f>
        <v>951.6507343</v>
      </c>
      <c r="S134" s="109">
        <f>$D$87*(1+$E$87)^16</f>
        <v>1027.782793</v>
      </c>
      <c r="T134" s="109">
        <f>$D$87*(1+$E$87)^17</f>
        <v>1110.005416</v>
      </c>
      <c r="U134" s="109">
        <f>$D$87*(1+$E$87)^18</f>
        <v>1198.80585</v>
      </c>
      <c r="V134" s="109">
        <f>$D$87*(1+$E$87)^19</f>
        <v>1294.710318</v>
      </c>
      <c r="W134" s="109">
        <f>$D$87*(1+$E$87)^20</f>
        <v>1398.287143</v>
      </c>
      <c r="X134" s="109">
        <f>$D$87*(1+$E$87)^21</f>
        <v>1510.150115</v>
      </c>
      <c r="Y134" s="109">
        <f>$D$87*(1+$E$87)^22</f>
        <v>1630.962124</v>
      </c>
      <c r="Z134" s="109">
        <f>$D$87*(1+$E$87)^23</f>
        <v>1761.439094</v>
      </c>
    </row>
    <row r="135" ht="15.0" hidden="1" customHeight="1" outlineLevel="1">
      <c r="A135" s="107" t="s">
        <v>651</v>
      </c>
      <c r="B135" s="107">
        <v>0.0</v>
      </c>
      <c r="C135" s="109">
        <f t="shared" ref="C135:Z135" si="47">B135*(1-$F$87)+C134</f>
        <v>300</v>
      </c>
      <c r="D135" s="109">
        <f t="shared" si="47"/>
        <v>579</v>
      </c>
      <c r="E135" s="109">
        <f t="shared" si="47"/>
        <v>842.07</v>
      </c>
      <c r="F135" s="109">
        <f t="shared" si="47"/>
        <v>1093.6731</v>
      </c>
      <c r="G135" s="109">
        <f t="shared" si="47"/>
        <v>1337.768823</v>
      </c>
      <c r="H135" s="109">
        <f t="shared" si="47"/>
        <v>1577.901923</v>
      </c>
      <c r="I135" s="109">
        <f t="shared" si="47"/>
        <v>1817.278931</v>
      </c>
      <c r="J135" s="109">
        <f t="shared" si="47"/>
        <v>2058.834372</v>
      </c>
      <c r="K135" s="109">
        <f t="shared" si="47"/>
        <v>2305.288279</v>
      </c>
      <c r="L135" s="109">
        <f t="shared" si="47"/>
        <v>2559.196426</v>
      </c>
      <c r="M135" s="109">
        <f t="shared" si="47"/>
        <v>2822.994461</v>
      </c>
      <c r="N135" s="109">
        <f t="shared" si="47"/>
        <v>3099.036991</v>
      </c>
      <c r="O135" s="109">
        <f t="shared" si="47"/>
        <v>3389.632477</v>
      </c>
      <c r="P135" s="109">
        <f t="shared" si="47"/>
        <v>3697.074724</v>
      </c>
      <c r="Q135" s="109">
        <f t="shared" si="47"/>
        <v>4023.671602</v>
      </c>
      <c r="R135" s="109">
        <f t="shared" si="47"/>
        <v>4371.771596</v>
      </c>
      <c r="S135" s="109">
        <f t="shared" si="47"/>
        <v>4743.78865</v>
      </c>
      <c r="T135" s="109">
        <f t="shared" si="47"/>
        <v>5142.225769</v>
      </c>
      <c r="U135" s="109">
        <f t="shared" si="47"/>
        <v>5569.697753</v>
      </c>
      <c r="V135" s="109">
        <f t="shared" si="47"/>
        <v>6028.953408</v>
      </c>
      <c r="W135" s="109">
        <f t="shared" si="47"/>
        <v>6522.89754</v>
      </c>
      <c r="X135" s="109">
        <f t="shared" si="47"/>
        <v>7054.613024</v>
      </c>
      <c r="Y135" s="109">
        <f t="shared" si="47"/>
        <v>7627.383194</v>
      </c>
      <c r="Z135" s="109">
        <f t="shared" si="47"/>
        <v>8244.714808</v>
      </c>
    </row>
    <row r="136" ht="15.0" hidden="1" customHeight="1" outlineLevel="1">
      <c r="A136" s="107" t="s">
        <v>652</v>
      </c>
      <c r="B136" s="108">
        <f>-$I$87</f>
        <v>-400000000</v>
      </c>
      <c r="C136" s="108">
        <f t="shared" ref="C136:Z136" si="48">C135*($B$87-$C$87)-C134*$G$87-$H$87</f>
        <v>-316559898</v>
      </c>
      <c r="D136" s="108">
        <f t="shared" si="48"/>
        <v>-298540603</v>
      </c>
      <c r="E136" s="108">
        <f t="shared" si="48"/>
        <v>-283853377.6</v>
      </c>
      <c r="F136" s="108">
        <f t="shared" si="48"/>
        <v>-272048745.1</v>
      </c>
      <c r="G136" s="108">
        <f t="shared" si="48"/>
        <v>-262748677.4</v>
      </c>
      <c r="H136" s="108">
        <f t="shared" si="48"/>
        <v>-255636199.4</v>
      </c>
      <c r="I136" s="108">
        <f t="shared" si="48"/>
        <v>-250446579.1</v>
      </c>
      <c r="J136" s="108">
        <f t="shared" si="48"/>
        <v>-246959866.5</v>
      </c>
      <c r="K136" s="108">
        <f t="shared" si="48"/>
        <v>-244994582.7</v>
      </c>
      <c r="L136" s="108">
        <f t="shared" si="48"/>
        <v>-244402387.2</v>
      </c>
      <c r="M136" s="108">
        <f t="shared" si="48"/>
        <v>-245063580.4</v>
      </c>
      <c r="N136" s="108">
        <f t="shared" si="48"/>
        <v>-246883318.7</v>
      </c>
      <c r="O136" s="108">
        <f t="shared" si="48"/>
        <v>-249788438.3</v>
      </c>
      <c r="P136" s="108">
        <f t="shared" si="48"/>
        <v>-253724799.4</v>
      </c>
      <c r="Q136" s="108">
        <f t="shared" si="48"/>
        <v>-258655076.4</v>
      </c>
      <c r="R136" s="108">
        <f t="shared" si="48"/>
        <v>-264556931.7</v>
      </c>
      <c r="S136" s="108">
        <f t="shared" si="48"/>
        <v>-271421518</v>
      </c>
      <c r="T136" s="108">
        <f t="shared" si="48"/>
        <v>-279252266.4</v>
      </c>
      <c r="U136" s="108">
        <f t="shared" si="48"/>
        <v>-288063920.6</v>
      </c>
      <c r="V136" s="108">
        <f t="shared" si="48"/>
        <v>-297881786.3</v>
      </c>
      <c r="W136" s="108">
        <f t="shared" si="48"/>
        <v>-308741168.4</v>
      </c>
      <c r="X136" s="108">
        <f t="shared" si="48"/>
        <v>-320686975.2</v>
      </c>
      <c r="Y136" s="108">
        <f t="shared" si="48"/>
        <v>-333773469.5</v>
      </c>
      <c r="Z136" s="108">
        <f t="shared" si="48"/>
        <v>-348064153</v>
      </c>
    </row>
    <row r="137" ht="15.0" hidden="1" customHeight="1" outlineLevel="1">
      <c r="A137" s="107" t="s">
        <v>653</v>
      </c>
      <c r="B137" s="108">
        <f>$J$87+B136</f>
        <v>1100000000</v>
      </c>
      <c r="C137" s="108">
        <f t="shared" ref="C137:Z137" si="49">B137+C136</f>
        <v>783440102</v>
      </c>
      <c r="D137" s="108">
        <f t="shared" si="49"/>
        <v>484899499</v>
      </c>
      <c r="E137" s="108">
        <f t="shared" si="49"/>
        <v>201046121.4</v>
      </c>
      <c r="F137" s="108">
        <f t="shared" si="49"/>
        <v>-71002623.66</v>
      </c>
      <c r="G137" s="108">
        <f t="shared" si="49"/>
        <v>-333751301.1</v>
      </c>
      <c r="H137" s="108">
        <f t="shared" si="49"/>
        <v>-589387500.5</v>
      </c>
      <c r="I137" s="108">
        <f t="shared" si="49"/>
        <v>-839834079.6</v>
      </c>
      <c r="J137" s="108">
        <f t="shared" si="49"/>
        <v>-1086793946</v>
      </c>
      <c r="K137" s="108">
        <f t="shared" si="49"/>
        <v>-1331788529</v>
      </c>
      <c r="L137" s="108">
        <f t="shared" si="49"/>
        <v>-1576190916</v>
      </c>
      <c r="M137" s="108">
        <f t="shared" si="49"/>
        <v>-1821254496</v>
      </c>
      <c r="N137" s="108">
        <f t="shared" si="49"/>
        <v>-2068137815</v>
      </c>
      <c r="O137" s="108">
        <f t="shared" si="49"/>
        <v>-2317926254</v>
      </c>
      <c r="P137" s="108">
        <f t="shared" si="49"/>
        <v>-2571651053</v>
      </c>
      <c r="Q137" s="108">
        <f t="shared" si="49"/>
        <v>-2830306129</v>
      </c>
      <c r="R137" s="108">
        <f t="shared" si="49"/>
        <v>-3094863061</v>
      </c>
      <c r="S137" s="108">
        <f t="shared" si="49"/>
        <v>-3366284579</v>
      </c>
      <c r="T137" s="108">
        <f t="shared" si="49"/>
        <v>-3645536845</v>
      </c>
      <c r="U137" s="108">
        <f t="shared" si="49"/>
        <v>-3933600766</v>
      </c>
      <c r="V137" s="108">
        <f t="shared" si="49"/>
        <v>-4231482552</v>
      </c>
      <c r="W137" s="108">
        <f t="shared" si="49"/>
        <v>-4540223721</v>
      </c>
      <c r="X137" s="108">
        <f t="shared" si="49"/>
        <v>-4860910696</v>
      </c>
      <c r="Y137" s="108">
        <f t="shared" si="49"/>
        <v>-5194684165</v>
      </c>
      <c r="Z137" s="108">
        <f t="shared" si="49"/>
        <v>-5542748318</v>
      </c>
    </row>
    <row r="138" ht="15.0" hidden="1" customHeight="1" outlineLevel="1">
      <c r="A138" s="107" t="s">
        <v>654</v>
      </c>
      <c r="B138" s="108">
        <f>B136</f>
        <v>-400000000</v>
      </c>
      <c r="C138" s="108">
        <f t="shared" ref="C138:Z138" si="50">B138+C136</f>
        <v>-716559898</v>
      </c>
      <c r="D138" s="108">
        <f t="shared" si="50"/>
        <v>-1015100501</v>
      </c>
      <c r="E138" s="108">
        <f t="shared" si="50"/>
        <v>-1298953879</v>
      </c>
      <c r="F138" s="108">
        <f t="shared" si="50"/>
        <v>-1571002624</v>
      </c>
      <c r="G138" s="108">
        <f t="shared" si="50"/>
        <v>-1833751301</v>
      </c>
      <c r="H138" s="108">
        <f t="shared" si="50"/>
        <v>-2089387501</v>
      </c>
      <c r="I138" s="108">
        <f t="shared" si="50"/>
        <v>-2339834080</v>
      </c>
      <c r="J138" s="108">
        <f t="shared" si="50"/>
        <v>-2586793946</v>
      </c>
      <c r="K138" s="108">
        <f t="shared" si="50"/>
        <v>-2831788529</v>
      </c>
      <c r="L138" s="108">
        <f t="shared" si="50"/>
        <v>-3076190916</v>
      </c>
      <c r="M138" s="108">
        <f t="shared" si="50"/>
        <v>-3321254496</v>
      </c>
      <c r="N138" s="108">
        <f t="shared" si="50"/>
        <v>-3568137815</v>
      </c>
      <c r="O138" s="108">
        <f t="shared" si="50"/>
        <v>-3817926254</v>
      </c>
      <c r="P138" s="108">
        <f t="shared" si="50"/>
        <v>-4071651053</v>
      </c>
      <c r="Q138" s="108">
        <f t="shared" si="50"/>
        <v>-4330306129</v>
      </c>
      <c r="R138" s="108">
        <f t="shared" si="50"/>
        <v>-4594863061</v>
      </c>
      <c r="S138" s="108">
        <f t="shared" si="50"/>
        <v>-4866284579</v>
      </c>
      <c r="T138" s="108">
        <f t="shared" si="50"/>
        <v>-5145536845</v>
      </c>
      <c r="U138" s="108">
        <f t="shared" si="50"/>
        <v>-5433600766</v>
      </c>
      <c r="V138" s="108">
        <f t="shared" si="50"/>
        <v>-5731482552</v>
      </c>
      <c r="W138" s="108">
        <f t="shared" si="50"/>
        <v>-6040223721</v>
      </c>
      <c r="X138" s="108">
        <f t="shared" si="50"/>
        <v>-6360910696</v>
      </c>
      <c r="Y138" s="108">
        <f t="shared" si="50"/>
        <v>-6694684165</v>
      </c>
      <c r="Z138" s="108">
        <f t="shared" si="50"/>
        <v>-7042748318</v>
      </c>
    </row>
    <row r="139" ht="15.0" hidden="1" customHeight="1" outlineLevel="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0" hidden="1" customHeight="1" outlineLevel="1">
      <c r="A140" s="107" t="s">
        <v>655</v>
      </c>
      <c r="B140" s="3"/>
      <c r="C140" s="109">
        <f>$D$88*(1+$E$88)^0</f>
        <v>300</v>
      </c>
      <c r="D140" s="109">
        <f>$D$88*(1+$E$88)^1</f>
        <v>324</v>
      </c>
      <c r="E140" s="109">
        <f>$D$88*(1+$E$88)^2</f>
        <v>349.92</v>
      </c>
      <c r="F140" s="109">
        <f>$D$88*(1+$E$88)^3</f>
        <v>377.9136</v>
      </c>
      <c r="G140" s="109">
        <f>$D$88*(1+$E$88)^4</f>
        <v>408.146688</v>
      </c>
      <c r="H140" s="109">
        <f>$D$88*(1+$E$88)^5</f>
        <v>440.798423</v>
      </c>
      <c r="I140" s="109">
        <f>$D$88*(1+$E$88)^6</f>
        <v>476.0622969</v>
      </c>
      <c r="J140" s="109">
        <f>$D$88*(1+$E$88)^7</f>
        <v>514.1472806</v>
      </c>
      <c r="K140" s="109">
        <f>$D$88*(1+$E$88)^8</f>
        <v>555.2790631</v>
      </c>
      <c r="L140" s="109">
        <f>$D$88*(1+$E$88)^9</f>
        <v>599.7013881</v>
      </c>
      <c r="M140" s="109">
        <f>$D$88*(1+$E$88)^10</f>
        <v>647.6774992</v>
      </c>
      <c r="N140" s="109">
        <f>$D$88*(1+$E$88)^11</f>
        <v>699.4916991</v>
      </c>
      <c r="O140" s="109">
        <f>$D$88*(1+$E$88)^12</f>
        <v>755.451035</v>
      </c>
      <c r="P140" s="109">
        <f>$D$88*(1+$E$88)^13</f>
        <v>815.8871178</v>
      </c>
      <c r="Q140" s="109">
        <f>$D$88*(1+$E$88)^14</f>
        <v>881.1580873</v>
      </c>
      <c r="R140" s="109">
        <f>$D$88*(1+$E$88)^15</f>
        <v>951.6507343</v>
      </c>
      <c r="S140" s="109">
        <f>$D$88*(1+$E$88)^16</f>
        <v>1027.782793</v>
      </c>
      <c r="T140" s="109">
        <f>$D$88*(1+$E$88)^17</f>
        <v>1110.005416</v>
      </c>
      <c r="U140" s="109">
        <f>$D$88*(1+$E$88)^18</f>
        <v>1198.80585</v>
      </c>
      <c r="V140" s="109">
        <f>$D$88*(1+$E$88)^19</f>
        <v>1294.710318</v>
      </c>
      <c r="W140" s="109">
        <f>$D$88*(1+$E$88)^20</f>
        <v>1398.287143</v>
      </c>
      <c r="X140" s="109">
        <f>$D$88*(1+$E$88)^21</f>
        <v>1510.150115</v>
      </c>
      <c r="Y140" s="109">
        <f>$D$88*(1+$E$88)^22</f>
        <v>1630.962124</v>
      </c>
      <c r="Z140" s="109">
        <f>$D$88*(1+$E$88)^23</f>
        <v>1761.439094</v>
      </c>
    </row>
    <row r="141" ht="15.0" hidden="1" customHeight="1" outlineLevel="1">
      <c r="A141" s="107" t="s">
        <v>656</v>
      </c>
      <c r="B141" s="107">
        <v>0.0</v>
      </c>
      <c r="C141" s="109">
        <f t="shared" ref="C141:Z141" si="51">B141*(1-$F$88)+C140</f>
        <v>300</v>
      </c>
      <c r="D141" s="109">
        <f t="shared" si="51"/>
        <v>579</v>
      </c>
      <c r="E141" s="109">
        <f t="shared" si="51"/>
        <v>842.07</v>
      </c>
      <c r="F141" s="109">
        <f t="shared" si="51"/>
        <v>1093.6731</v>
      </c>
      <c r="G141" s="109">
        <f t="shared" si="51"/>
        <v>1337.768823</v>
      </c>
      <c r="H141" s="109">
        <f t="shared" si="51"/>
        <v>1577.901923</v>
      </c>
      <c r="I141" s="109">
        <f t="shared" si="51"/>
        <v>1817.278931</v>
      </c>
      <c r="J141" s="109">
        <f t="shared" si="51"/>
        <v>2058.834372</v>
      </c>
      <c r="K141" s="109">
        <f t="shared" si="51"/>
        <v>2305.288279</v>
      </c>
      <c r="L141" s="109">
        <f t="shared" si="51"/>
        <v>2559.196426</v>
      </c>
      <c r="M141" s="109">
        <f t="shared" si="51"/>
        <v>2822.994461</v>
      </c>
      <c r="N141" s="109">
        <f t="shared" si="51"/>
        <v>3099.036991</v>
      </c>
      <c r="O141" s="109">
        <f t="shared" si="51"/>
        <v>3389.632477</v>
      </c>
      <c r="P141" s="109">
        <f t="shared" si="51"/>
        <v>3697.074724</v>
      </c>
      <c r="Q141" s="109">
        <f t="shared" si="51"/>
        <v>4023.671602</v>
      </c>
      <c r="R141" s="109">
        <f t="shared" si="51"/>
        <v>4371.771596</v>
      </c>
      <c r="S141" s="109">
        <f t="shared" si="51"/>
        <v>4743.78865</v>
      </c>
      <c r="T141" s="109">
        <f t="shared" si="51"/>
        <v>5142.225769</v>
      </c>
      <c r="U141" s="109">
        <f t="shared" si="51"/>
        <v>5569.697753</v>
      </c>
      <c r="V141" s="109">
        <f t="shared" si="51"/>
        <v>6028.953408</v>
      </c>
      <c r="W141" s="109">
        <f t="shared" si="51"/>
        <v>6522.89754</v>
      </c>
      <c r="X141" s="109">
        <f t="shared" si="51"/>
        <v>7054.613024</v>
      </c>
      <c r="Y141" s="109">
        <f t="shared" si="51"/>
        <v>7627.383194</v>
      </c>
      <c r="Z141" s="109">
        <f t="shared" si="51"/>
        <v>8244.714808</v>
      </c>
    </row>
    <row r="142" ht="15.0" hidden="1" customHeight="1" outlineLevel="1">
      <c r="A142" s="107" t="s">
        <v>657</v>
      </c>
      <c r="B142" s="108">
        <f>-$I$88</f>
        <v>-400000000</v>
      </c>
      <c r="C142" s="108">
        <f t="shared" ref="C142:Z142" si="52">C141*($B$88-$C$88)-C140*$G$88-$H$88</f>
        <v>-302176552.3</v>
      </c>
      <c r="D142" s="108">
        <f t="shared" si="52"/>
        <v>-293100746</v>
      </c>
      <c r="E142" s="108">
        <f t="shared" si="52"/>
        <v>-286846364.7</v>
      </c>
      <c r="F142" s="108">
        <f t="shared" si="52"/>
        <v>-283106999.1</v>
      </c>
      <c r="G142" s="108">
        <f t="shared" si="52"/>
        <v>-281631545.4</v>
      </c>
      <c r="H142" s="108">
        <f t="shared" si="52"/>
        <v>-282216657.5</v>
      </c>
      <c r="I142" s="108">
        <f t="shared" si="52"/>
        <v>-284700390.3</v>
      </c>
      <c r="J142" s="108">
        <f t="shared" si="52"/>
        <v>-288956861.7</v>
      </c>
      <c r="K142" s="108">
        <f t="shared" si="52"/>
        <v>-294891784.7</v>
      </c>
      <c r="L142" s="108">
        <f t="shared" si="52"/>
        <v>-302438745.5</v>
      </c>
      <c r="M142" s="108">
        <f t="shared" si="52"/>
        <v>-311556120.5</v>
      </c>
      <c r="N142" s="108">
        <f t="shared" si="52"/>
        <v>-322224544.1</v>
      </c>
      <c r="O142" s="108">
        <f t="shared" si="52"/>
        <v>-334444851.6</v>
      </c>
      <c r="P142" s="108">
        <f t="shared" si="52"/>
        <v>-348236432</v>
      </c>
      <c r="Q142" s="108">
        <f t="shared" si="52"/>
        <v>-363635940.1</v>
      </c>
      <c r="R142" s="108">
        <f t="shared" si="52"/>
        <v>-380696319.7</v>
      </c>
      <c r="S142" s="108">
        <f t="shared" si="52"/>
        <v>-399486104.1</v>
      </c>
      <c r="T142" s="108">
        <f t="shared" si="52"/>
        <v>-420088959.4</v>
      </c>
      <c r="U142" s="108">
        <f t="shared" si="52"/>
        <v>-442603448.1</v>
      </c>
      <c r="V142" s="108">
        <f t="shared" si="52"/>
        <v>-467142990</v>
      </c>
      <c r="W142" s="108">
        <f t="shared" si="52"/>
        <v>-493836005.5</v>
      </c>
      <c r="X142" s="108">
        <f t="shared" si="52"/>
        <v>-522826225.7</v>
      </c>
      <c r="Y142" s="108">
        <f t="shared" si="52"/>
        <v>-554273162.6</v>
      </c>
      <c r="Z142" s="108">
        <f t="shared" si="52"/>
        <v>-588352728.5</v>
      </c>
    </row>
    <row r="143" ht="15.0" hidden="1" customHeight="1" outlineLevel="1">
      <c r="A143" s="107" t="s">
        <v>658</v>
      </c>
      <c r="B143" s="108">
        <f>$J$88+B142</f>
        <v>1100000000</v>
      </c>
      <c r="C143" s="108">
        <f t="shared" ref="C143:Z143" si="53">B143+C142</f>
        <v>797823447.7</v>
      </c>
      <c r="D143" s="108">
        <f t="shared" si="53"/>
        <v>504722701.7</v>
      </c>
      <c r="E143" s="108">
        <f t="shared" si="53"/>
        <v>217876337</v>
      </c>
      <c r="F143" s="108">
        <f t="shared" si="53"/>
        <v>-65230662.08</v>
      </c>
      <c r="G143" s="108">
        <f t="shared" si="53"/>
        <v>-346862207.5</v>
      </c>
      <c r="H143" s="108">
        <f t="shared" si="53"/>
        <v>-629078865</v>
      </c>
      <c r="I143" s="108">
        <f t="shared" si="53"/>
        <v>-913779255.3</v>
      </c>
      <c r="J143" s="108">
        <f t="shared" si="53"/>
        <v>-1202736117</v>
      </c>
      <c r="K143" s="108">
        <f t="shared" si="53"/>
        <v>-1497627902</v>
      </c>
      <c r="L143" s="108">
        <f t="shared" si="53"/>
        <v>-1800066647</v>
      </c>
      <c r="M143" s="108">
        <f t="shared" si="53"/>
        <v>-2111622768</v>
      </c>
      <c r="N143" s="108">
        <f t="shared" si="53"/>
        <v>-2433847312</v>
      </c>
      <c r="O143" s="108">
        <f t="shared" si="53"/>
        <v>-2768292163</v>
      </c>
      <c r="P143" s="108">
        <f t="shared" si="53"/>
        <v>-3116528595</v>
      </c>
      <c r="Q143" s="108">
        <f t="shared" si="53"/>
        <v>-3480164536</v>
      </c>
      <c r="R143" s="108">
        <f t="shared" si="53"/>
        <v>-3860860855</v>
      </c>
      <c r="S143" s="108">
        <f t="shared" si="53"/>
        <v>-4260346959</v>
      </c>
      <c r="T143" s="108">
        <f t="shared" si="53"/>
        <v>-4680435919</v>
      </c>
      <c r="U143" s="108">
        <f t="shared" si="53"/>
        <v>-5123039367</v>
      </c>
      <c r="V143" s="108">
        <f t="shared" si="53"/>
        <v>-5590182357</v>
      </c>
      <c r="W143" s="108">
        <f t="shared" si="53"/>
        <v>-6084018362</v>
      </c>
      <c r="X143" s="108">
        <f t="shared" si="53"/>
        <v>-6606844588</v>
      </c>
      <c r="Y143" s="108">
        <f t="shared" si="53"/>
        <v>-7161117751</v>
      </c>
      <c r="Z143" s="108">
        <f t="shared" si="53"/>
        <v>-7749470479</v>
      </c>
    </row>
    <row r="144" ht="15.0" hidden="1" customHeight="1" outlineLevel="1">
      <c r="A144" s="107" t="s">
        <v>659</v>
      </c>
      <c r="B144" s="108">
        <f>B142</f>
        <v>-400000000</v>
      </c>
      <c r="C144" s="108">
        <f t="shared" ref="C144:Z144" si="54">B144+C142</f>
        <v>-702176552.3</v>
      </c>
      <c r="D144" s="108">
        <f t="shared" si="54"/>
        <v>-995277298.3</v>
      </c>
      <c r="E144" s="108">
        <f t="shared" si="54"/>
        <v>-1282123663</v>
      </c>
      <c r="F144" s="108">
        <f t="shared" si="54"/>
        <v>-1565230662</v>
      </c>
      <c r="G144" s="108">
        <f t="shared" si="54"/>
        <v>-1846862207</v>
      </c>
      <c r="H144" s="108">
        <f t="shared" si="54"/>
        <v>-2129078865</v>
      </c>
      <c r="I144" s="108">
        <f t="shared" si="54"/>
        <v>-2413779255</v>
      </c>
      <c r="J144" s="108">
        <f t="shared" si="54"/>
        <v>-2702736117</v>
      </c>
      <c r="K144" s="108">
        <f t="shared" si="54"/>
        <v>-2997627902</v>
      </c>
      <c r="L144" s="108">
        <f t="shared" si="54"/>
        <v>-3300066647</v>
      </c>
      <c r="M144" s="108">
        <f t="shared" si="54"/>
        <v>-3611622768</v>
      </c>
      <c r="N144" s="108">
        <f t="shared" si="54"/>
        <v>-3933847312</v>
      </c>
      <c r="O144" s="108">
        <f t="shared" si="54"/>
        <v>-4268292163</v>
      </c>
      <c r="P144" s="108">
        <f t="shared" si="54"/>
        <v>-4616528595</v>
      </c>
      <c r="Q144" s="108">
        <f t="shared" si="54"/>
        <v>-4980164536</v>
      </c>
      <c r="R144" s="108">
        <f t="shared" si="54"/>
        <v>-5360860855</v>
      </c>
      <c r="S144" s="108">
        <f t="shared" si="54"/>
        <v>-5760346959</v>
      </c>
      <c r="T144" s="108">
        <f t="shared" si="54"/>
        <v>-6180435919</v>
      </c>
      <c r="U144" s="108">
        <f t="shared" si="54"/>
        <v>-6623039367</v>
      </c>
      <c r="V144" s="108">
        <f t="shared" si="54"/>
        <v>-7090182357</v>
      </c>
      <c r="W144" s="108">
        <f t="shared" si="54"/>
        <v>-7584018362</v>
      </c>
      <c r="X144" s="108">
        <f t="shared" si="54"/>
        <v>-8106844588</v>
      </c>
      <c r="Y144" s="108">
        <f t="shared" si="54"/>
        <v>-8661117751</v>
      </c>
      <c r="Z144" s="108">
        <f t="shared" si="54"/>
        <v>-9249470479</v>
      </c>
    </row>
    <row r="145" ht="15.0" hidden="1" customHeight="1" outlineLevel="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E71:H71"/>
    <mergeCell ref="E72:H72"/>
    <mergeCell ref="E73:H73"/>
    <mergeCell ref="E74:H74"/>
    <mergeCell ref="E75:H75"/>
    <mergeCell ref="E76:H76"/>
    <mergeCell ref="E77:H77"/>
  </mergeCells>
  <conditionalFormatting sqref="A58:H64">
    <cfRule type="expression" dxfId="0" priority="1">
      <formula>$H58=1</formula>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4" width="18.0"/>
    <col customWidth="1" min="5" max="5" width="15.0"/>
    <col customWidth="1" min="6" max="6" width="40.0"/>
    <col customWidth="1" min="7" max="7" width="52.0"/>
  </cols>
  <sheetData>
    <row r="1" ht="17.25" customHeight="1">
      <c r="A1" s="1" t="s">
        <v>362</v>
      </c>
      <c r="B1" s="3"/>
      <c r="C1" s="3"/>
      <c r="D1" s="3"/>
      <c r="E1" s="3"/>
      <c r="F1" s="3"/>
      <c r="G1" s="3"/>
    </row>
    <row r="2" ht="15.0" customHeight="1">
      <c r="A2" s="5" t="s">
        <v>382</v>
      </c>
      <c r="B2" s="3"/>
      <c r="C2" s="3"/>
      <c r="D2" s="3"/>
      <c r="E2" s="3"/>
      <c r="F2" s="3"/>
      <c r="G2" s="3"/>
    </row>
    <row r="3" ht="15.0" customHeight="1">
      <c r="A3" s="74" t="s">
        <v>385</v>
      </c>
      <c r="B3" s="3"/>
      <c r="C3" s="3"/>
      <c r="D3" s="3"/>
      <c r="E3" s="3"/>
      <c r="F3" s="3"/>
      <c r="G3" s="3"/>
    </row>
    <row r="4" ht="15.0" customHeight="1">
      <c r="A4" s="9" t="s">
        <v>208</v>
      </c>
      <c r="B4" s="9" t="s">
        <v>210</v>
      </c>
      <c r="C4" s="9" t="s">
        <v>211</v>
      </c>
      <c r="D4" s="9" t="s">
        <v>212</v>
      </c>
      <c r="E4" s="9" t="s">
        <v>22</v>
      </c>
      <c r="F4" s="9" t="s">
        <v>23</v>
      </c>
      <c r="G4" s="9" t="s">
        <v>213</v>
      </c>
    </row>
    <row r="5" ht="15.75" customHeight="1">
      <c r="A5" s="11" t="s">
        <v>391</v>
      </c>
      <c r="B5" s="76"/>
      <c r="C5" s="76"/>
      <c r="D5" s="76"/>
      <c r="E5" s="15" t="s">
        <v>392</v>
      </c>
      <c r="F5" s="63"/>
      <c r="G5" s="17" t="s">
        <v>393</v>
      </c>
    </row>
    <row r="6" ht="31.5" customHeight="1">
      <c r="A6" s="24" t="s">
        <v>394</v>
      </c>
      <c r="B6" s="76"/>
      <c r="C6" s="76"/>
      <c r="D6" s="76"/>
      <c r="E6" s="15" t="s">
        <v>395</v>
      </c>
      <c r="F6" s="63"/>
      <c r="G6" s="17" t="s">
        <v>396</v>
      </c>
    </row>
    <row r="7" ht="30.0" customHeight="1">
      <c r="A7" s="11" t="s">
        <v>397</v>
      </c>
      <c r="B7" s="32"/>
      <c r="C7" s="32"/>
      <c r="D7" s="32"/>
      <c r="E7" s="15" t="s">
        <v>121</v>
      </c>
      <c r="F7" s="63"/>
      <c r="G7" s="17" t="s">
        <v>398</v>
      </c>
    </row>
    <row r="8" ht="15.75" customHeight="1">
      <c r="A8" s="11" t="s">
        <v>399</v>
      </c>
      <c r="B8" s="60"/>
      <c r="C8" s="60"/>
      <c r="D8" s="60"/>
      <c r="E8" s="15" t="s">
        <v>139</v>
      </c>
      <c r="F8" s="63"/>
      <c r="G8" s="17" t="s">
        <v>400</v>
      </c>
    </row>
    <row r="9" ht="15.75" customHeight="1">
      <c r="A9" s="11" t="s">
        <v>401</v>
      </c>
      <c r="B9" s="60"/>
      <c r="C9" s="60"/>
      <c r="D9" s="60"/>
      <c r="E9" s="15" t="s">
        <v>251</v>
      </c>
      <c r="F9" s="63"/>
      <c r="G9" s="17" t="s">
        <v>402</v>
      </c>
    </row>
    <row r="10" ht="15.75" customHeight="1">
      <c r="A10" s="11" t="s">
        <v>403</v>
      </c>
      <c r="B10" s="60"/>
      <c r="C10" s="60"/>
      <c r="D10" s="60"/>
      <c r="E10" s="15" t="s">
        <v>404</v>
      </c>
      <c r="F10" s="63"/>
      <c r="G10" s="17" t="s">
        <v>405</v>
      </c>
    </row>
    <row r="11" ht="15.75" customHeight="1">
      <c r="A11" s="11" t="s">
        <v>406</v>
      </c>
      <c r="B11" s="60"/>
      <c r="C11" s="60"/>
      <c r="D11" s="60"/>
      <c r="E11" s="15" t="s">
        <v>404</v>
      </c>
      <c r="F11" s="63"/>
      <c r="G11" s="17" t="s">
        <v>407</v>
      </c>
    </row>
    <row r="12" ht="15.75" customHeight="1">
      <c r="A12" s="11" t="s">
        <v>408</v>
      </c>
      <c r="B12" s="60"/>
      <c r="C12" s="60"/>
      <c r="D12" s="60"/>
      <c r="E12" s="15" t="s">
        <v>251</v>
      </c>
      <c r="F12" s="63"/>
      <c r="G12" s="17" t="s">
        <v>409</v>
      </c>
    </row>
    <row r="13" ht="15.0" customHeight="1">
      <c r="A13" s="11" t="s">
        <v>300</v>
      </c>
      <c r="B13" s="32">
        <v>0.15</v>
      </c>
      <c r="C13" s="32">
        <v>0.15</v>
      </c>
      <c r="D13" s="32">
        <v>0.15</v>
      </c>
      <c r="E13" s="15" t="s">
        <v>121</v>
      </c>
      <c r="F13" s="63" t="s">
        <v>410</v>
      </c>
      <c r="G13" s="15"/>
    </row>
    <row r="14">
      <c r="A14" s="3"/>
      <c r="B14" s="3"/>
      <c r="C14" s="3"/>
      <c r="D14" s="3"/>
      <c r="E14" s="3"/>
      <c r="F14" s="3"/>
      <c r="G14" s="3"/>
    </row>
    <row r="15" ht="26.25" customHeight="1">
      <c r="A15" s="9" t="s">
        <v>411</v>
      </c>
      <c r="B15" s="9" t="s">
        <v>210</v>
      </c>
      <c r="C15" s="9" t="s">
        <v>211</v>
      </c>
      <c r="D15" s="9" t="s">
        <v>212</v>
      </c>
      <c r="E15" s="9" t="s">
        <v>288</v>
      </c>
      <c r="F15" s="3"/>
      <c r="G15" s="3"/>
    </row>
    <row r="16" ht="15.0" customHeight="1">
      <c r="A16" s="34" t="s">
        <v>412</v>
      </c>
      <c r="B16" s="36">
        <f t="shared" ref="B16:D16" si="1">B5*B6*52/12*B7*B8+B9</f>
        <v>0</v>
      </c>
      <c r="C16" s="36">
        <f t="shared" si="1"/>
        <v>0</v>
      </c>
      <c r="D16" s="36">
        <f t="shared" si="1"/>
        <v>0</v>
      </c>
      <c r="E16" s="3"/>
      <c r="F16" s="3"/>
      <c r="G16" s="3"/>
    </row>
    <row r="17" ht="15.0" customHeight="1">
      <c r="A17" s="34" t="s">
        <v>413</v>
      </c>
      <c r="B17" s="36">
        <f t="shared" ref="B17:D17" si="2">B16-B12</f>
        <v>0</v>
      </c>
      <c r="C17" s="36">
        <f t="shared" si="2"/>
        <v>0</v>
      </c>
      <c r="D17" s="36">
        <f t="shared" si="2"/>
        <v>0</v>
      </c>
      <c r="E17" s="3" t="s">
        <v>414</v>
      </c>
      <c r="F17" s="3"/>
      <c r="G17" s="3"/>
    </row>
    <row r="18" ht="15.0" customHeight="1">
      <c r="A18" s="34" t="s">
        <v>415</v>
      </c>
      <c r="B18" s="36">
        <f t="shared" ref="B18:D18" si="3">B10+B11</f>
        <v>0</v>
      </c>
      <c r="C18" s="36">
        <f t="shared" si="3"/>
        <v>0</v>
      </c>
      <c r="D18" s="36">
        <f t="shared" si="3"/>
        <v>0</v>
      </c>
      <c r="E18" s="3"/>
      <c r="F18" s="3"/>
      <c r="G18" s="3"/>
    </row>
    <row r="19" ht="15.0" customHeight="1">
      <c r="A19" s="34" t="s">
        <v>416</v>
      </c>
      <c r="B19" s="78" t="str">
        <f t="shared" ref="B19:D19" si="4">IF(B5=0,"Chưa điền",IF(B17&gt;0,B18/B17,"Không hoàn vốn"))</f>
        <v>Chưa điền</v>
      </c>
      <c r="C19" s="78" t="str">
        <f t="shared" si="4"/>
        <v>Chưa điền</v>
      </c>
      <c r="D19" s="78" t="str">
        <f t="shared" si="4"/>
        <v>Chưa điền</v>
      </c>
      <c r="E19" s="3" t="s">
        <v>323</v>
      </c>
      <c r="F19" s="3"/>
      <c r="G19" s="3"/>
    </row>
    <row r="20" ht="15.0" customHeight="1">
      <c r="A20" s="34" t="s">
        <v>417</v>
      </c>
      <c r="B20" s="41">
        <f t="shared" ref="B20:D20" si="5">IFERROR((12*B17-B18)/B18,0)</f>
        <v>0</v>
      </c>
      <c r="C20" s="41">
        <f t="shared" si="5"/>
        <v>0</v>
      </c>
      <c r="D20" s="41">
        <f t="shared" si="5"/>
        <v>0</v>
      </c>
      <c r="E20" s="3" t="s">
        <v>414</v>
      </c>
      <c r="F20" s="3"/>
      <c r="G20" s="3"/>
    </row>
    <row r="21" ht="15.0" customHeight="1">
      <c r="A21" s="34" t="s">
        <v>419</v>
      </c>
      <c r="B21" s="40">
        <f t="shared" ref="B21:D21" si="6">PV(B13/12,24,-B17)-B18</f>
        <v>0</v>
      </c>
      <c r="C21" s="40">
        <f t="shared" si="6"/>
        <v>0</v>
      </c>
      <c r="D21" s="40">
        <f t="shared" si="6"/>
        <v>0</v>
      </c>
      <c r="E21" s="3" t="s">
        <v>414</v>
      </c>
      <c r="F21" s="3"/>
      <c r="G21" s="3"/>
    </row>
    <row r="22" ht="15.0" customHeight="1">
      <c r="A22" s="34" t="s">
        <v>425</v>
      </c>
      <c r="B22" s="69" t="str">
        <f t="shared" ref="B22:D22" si="7">IF(B5=0,"Chưa điền",IF(NOT(ISNUMBER(B19)),"Dừng",IF(B19&lt;12,"Làm","Thử nghiệm nhỏ")))</f>
        <v>Chưa điền</v>
      </c>
      <c r="C22" s="69" t="str">
        <f t="shared" si="7"/>
        <v>Chưa điền</v>
      </c>
      <c r="D22" s="69" t="str">
        <f t="shared" si="7"/>
        <v>Chưa điền</v>
      </c>
      <c r="E22" s="42" t="s">
        <v>426</v>
      </c>
      <c r="F22" s="3"/>
      <c r="G22" s="3"/>
    </row>
    <row r="23" ht="15.75" customHeight="1">
      <c r="A23" s="3"/>
      <c r="B23" s="3"/>
      <c r="C23" s="3"/>
      <c r="D23" s="3"/>
      <c r="E23" s="3"/>
      <c r="F23" s="3"/>
      <c r="G23" s="3"/>
    </row>
    <row r="24" ht="15.75" customHeight="1">
      <c r="A24" s="3"/>
      <c r="B24" s="3"/>
      <c r="C24" s="3"/>
      <c r="D24" s="3"/>
      <c r="E24" s="3"/>
      <c r="F24" s="3"/>
      <c r="G24" s="3"/>
    </row>
    <row r="25" ht="15.75" customHeight="1">
      <c r="A25" s="3"/>
      <c r="B25" s="3"/>
      <c r="C25" s="3"/>
      <c r="D25" s="3"/>
      <c r="E25" s="3"/>
      <c r="F25" s="3"/>
      <c r="G25" s="3"/>
    </row>
    <row r="26" ht="15.75" customHeight="1">
      <c r="A26" s="3"/>
      <c r="B26" s="3"/>
      <c r="C26" s="3"/>
      <c r="D26" s="3"/>
      <c r="E26" s="3"/>
      <c r="F26" s="3"/>
      <c r="G26" s="3"/>
    </row>
    <row r="27" ht="15.75" customHeight="1">
      <c r="A27" s="3"/>
      <c r="B27" s="3"/>
      <c r="C27" s="3"/>
      <c r="D27" s="3"/>
      <c r="E27" s="3"/>
      <c r="F27" s="3"/>
      <c r="G27" s="3"/>
    </row>
    <row r="28" ht="15.75" customHeight="1">
      <c r="A28" s="3"/>
      <c r="B28" s="3"/>
      <c r="C28" s="3"/>
      <c r="D28" s="3"/>
      <c r="E28" s="3"/>
      <c r="F28" s="3"/>
      <c r="G28" s="3"/>
    </row>
    <row r="29" ht="15.75" customHeight="1">
      <c r="A29" s="3"/>
      <c r="B29" s="3"/>
      <c r="C29" s="3"/>
      <c r="D29" s="3"/>
      <c r="E29" s="3"/>
      <c r="F29" s="3"/>
      <c r="G29" s="3"/>
    </row>
    <row r="30" ht="15.75" customHeight="1">
      <c r="A30" s="3"/>
      <c r="B30" s="3"/>
      <c r="C30" s="3"/>
      <c r="D30" s="3"/>
      <c r="E30" s="3"/>
      <c r="F30" s="3"/>
      <c r="G30" s="3"/>
    </row>
    <row r="31" ht="15.75" customHeight="1">
      <c r="A31" s="3"/>
      <c r="B31" s="3"/>
      <c r="C31" s="3"/>
      <c r="D31" s="3"/>
      <c r="E31" s="3"/>
      <c r="F31" s="3"/>
      <c r="G31" s="3"/>
    </row>
    <row r="32" ht="15.75" customHeight="1">
      <c r="A32" s="3"/>
      <c r="B32" s="3"/>
      <c r="C32" s="3"/>
      <c r="D32" s="3"/>
      <c r="E32" s="3"/>
      <c r="F32" s="3"/>
      <c r="G32" s="3"/>
    </row>
    <row r="33" ht="15.75" customHeight="1">
      <c r="A33" s="3"/>
      <c r="B33" s="3"/>
      <c r="C33" s="3"/>
      <c r="D33" s="3"/>
      <c r="E33" s="3"/>
      <c r="F33" s="3"/>
      <c r="G33" s="3"/>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60.0"/>
    <col customWidth="1" min="2" max="2" width="24.0"/>
    <col customWidth="1" min="3" max="3" width="26.0"/>
    <col customWidth="1" min="4" max="6" width="8.71"/>
  </cols>
  <sheetData>
    <row r="1" ht="17.25" customHeight="1">
      <c r="A1" s="1" t="s">
        <v>418</v>
      </c>
      <c r="B1" s="3"/>
      <c r="C1" s="3"/>
    </row>
    <row r="2" ht="31.5" customHeight="1">
      <c r="A2" s="79" t="s">
        <v>420</v>
      </c>
    </row>
    <row r="3">
      <c r="A3" s="3"/>
      <c r="B3" s="3"/>
      <c r="C3" s="3"/>
    </row>
    <row r="4" ht="15.0" customHeight="1">
      <c r="A4" s="9" t="s">
        <v>421</v>
      </c>
      <c r="B4" s="9" t="s">
        <v>422</v>
      </c>
      <c r="C4" s="9" t="s">
        <v>423</v>
      </c>
    </row>
    <row r="5" ht="15.0" customHeight="1">
      <c r="A5" s="34" t="s">
        <v>424</v>
      </c>
      <c r="B5" s="41">
        <f>'1_Chi phí mỗi việc'!B25</f>
        <v>4.928095299</v>
      </c>
      <c r="C5" s="39" t="str">
        <f>IF(B5&gt;=0.3,"Đạt","Xem lại")</f>
        <v>Đạt</v>
      </c>
    </row>
    <row r="6" ht="15.0" customHeight="1">
      <c r="A6" s="34" t="s">
        <v>428</v>
      </c>
      <c r="B6" s="41">
        <f>'4_Chỉ số mỗi khách'!C7</f>
        <v>0.8946260943</v>
      </c>
      <c r="C6" s="39" t="str">
        <f>IF(B6&gt;=0.6,"Đạt","Xem lại")</f>
        <v>Đạt</v>
      </c>
    </row>
    <row r="7" ht="15.0" customHeight="1">
      <c r="A7" s="34" t="s">
        <v>429</v>
      </c>
      <c r="B7" s="80">
        <f>'4_Chỉ số mỗi khách'!C11</f>
        <v>1.188574668</v>
      </c>
      <c r="C7" s="39" t="str">
        <f>IF(B7&gt;3,"Đạt","Xem lại")</f>
        <v>Xem lại</v>
      </c>
    </row>
    <row r="8" ht="15.0" customHeight="1">
      <c r="A8" s="34" t="s">
        <v>430</v>
      </c>
      <c r="B8" s="64">
        <f>'4_Chỉ số mỗi khách'!C12</f>
        <v>5.608959071</v>
      </c>
      <c r="C8" s="39" t="str">
        <f>IF(AND(B8&gt;0,B8&lt;12),"Đạt","Xem lại")</f>
        <v>Đạt</v>
      </c>
    </row>
    <row r="9" ht="15.0" customHeight="1">
      <c r="A9" s="34" t="s">
        <v>431</v>
      </c>
      <c r="B9" s="39" t="str">
        <f>IF(AND('3_Giả định'!C9&gt;0,'3_Giả định'!C10&gt;0,'3_Giả định'!D9&gt;=1.5*'3_Giả định'!C9,'3_Giả định'!D10&gt;=1.5*'3_Giả định'!C10),"Có","Không")</f>
        <v>Có</v>
      </c>
      <c r="C9" s="39" t="str">
        <f>IF(B9="Có","Đạt","Xem lại")</f>
        <v>Đạt</v>
      </c>
    </row>
    <row r="10" ht="15.0" customHeight="1">
      <c r="A10" s="34" t="s">
        <v>432</v>
      </c>
      <c r="B10" s="81">
        <f>'5_Dòng tiền &amp; hiệu quả'!D47</f>
        <v>5</v>
      </c>
      <c r="C10" s="39" t="str">
        <f>IF(B10="Chưa điền","Chưa điền",IF(ISNUMBER(B10),IF(B10&gt;=12,"Đạt","Cần kế hoạch cắt giảm"),"Đạt"))</f>
        <v>Cần kế hoạch cắt giảm</v>
      </c>
    </row>
    <row r="11" ht="15.0" customHeight="1">
      <c r="A11" s="34" t="s">
        <v>433</v>
      </c>
      <c r="B11" s="36">
        <f>'5_Dòng tiền &amp; hiệu quả'!C44</f>
        <v>-5591201777</v>
      </c>
      <c r="C11" s="39" t="str">
        <f>IF(B11&gt;0,"Đạt","Xem lại")</f>
        <v>Xem lại</v>
      </c>
    </row>
    <row r="12" ht="15.0" customHeight="1">
      <c r="A12" s="34" t="s">
        <v>434</v>
      </c>
      <c r="B12" s="39" t="str">
        <f>'5_Dòng tiền &amp; hiệu quả'!B66</f>
        <v>Chi phí có một khách tăng</v>
      </c>
      <c r="C12" s="39" t="str">
        <f>IF(B12="Chưa đủ số liệu","Xem lại","Ghi vào câu 3")</f>
        <v>Ghi vào câu 3</v>
      </c>
    </row>
    <row r="13" ht="16.5" customHeight="1">
      <c r="A13" s="82" t="s">
        <v>435</v>
      </c>
    </row>
    <row r="14" ht="48.75" customHeight="1">
      <c r="A14" s="33" t="s">
        <v>436</v>
      </c>
    </row>
    <row r="15" ht="58.5" customHeight="1">
      <c r="A15" s="83" t="s">
        <v>437</v>
      </c>
      <c r="B15" s="84"/>
      <c r="C15" s="84"/>
    </row>
    <row r="16">
      <c r="A16" s="3"/>
      <c r="B16" s="3"/>
      <c r="C16" s="3"/>
    </row>
    <row r="17" ht="18.75" customHeight="1">
      <c r="A17" s="33" t="s">
        <v>438</v>
      </c>
    </row>
    <row r="18" ht="48.0" customHeight="1">
      <c r="A18" s="83" t="s">
        <v>439</v>
      </c>
      <c r="B18" s="84"/>
      <c r="C18" s="84"/>
    </row>
    <row r="19">
      <c r="A19" s="3"/>
      <c r="B19" s="3"/>
      <c r="C19" s="3"/>
    </row>
    <row r="20" ht="18.75" customHeight="1">
      <c r="A20" s="33" t="s">
        <v>440</v>
      </c>
    </row>
    <row r="21" ht="56.25" customHeight="1">
      <c r="A21" s="83" t="s">
        <v>441</v>
      </c>
      <c r="B21" s="84"/>
      <c r="C21" s="84"/>
    </row>
    <row r="22" ht="15.75" customHeight="1">
      <c r="A22" s="3"/>
      <c r="B22" s="3"/>
      <c r="C22" s="3"/>
    </row>
    <row r="23" ht="63.75" customHeight="1">
      <c r="A23" s="33" t="s">
        <v>442</v>
      </c>
    </row>
    <row r="24" ht="48.0" customHeight="1">
      <c r="A24" s="83" t="s">
        <v>443</v>
      </c>
      <c r="B24" s="84"/>
      <c r="C24" s="84"/>
    </row>
    <row r="25" ht="15.75" customHeight="1">
      <c r="A25" s="3"/>
      <c r="B25" s="3"/>
      <c r="C25" s="3"/>
    </row>
    <row r="26" ht="33.75" customHeight="1">
      <c r="A26" s="33" t="s">
        <v>444</v>
      </c>
    </row>
    <row r="27" ht="59.25" customHeight="1">
      <c r="A27" s="85" t="s">
        <v>445</v>
      </c>
      <c r="B27" s="54"/>
      <c r="C27" s="55"/>
    </row>
    <row r="28" ht="15.75" customHeight="1">
      <c r="A28" s="3"/>
      <c r="B28" s="3"/>
      <c r="C28" s="3"/>
    </row>
    <row r="29" ht="15.75" customHeight="1">
      <c r="A29" s="3"/>
      <c r="B29" s="3"/>
      <c r="C29" s="3"/>
    </row>
    <row r="30" ht="15.75" customHeight="1">
      <c r="A30" s="3"/>
      <c r="B30" s="3"/>
      <c r="C30" s="3"/>
    </row>
    <row r="31" ht="15.75" customHeight="1">
      <c r="A31" s="3"/>
      <c r="B31" s="3"/>
      <c r="C31" s="3"/>
    </row>
    <row r="32" ht="15.75" customHeight="1">
      <c r="A32" s="3"/>
      <c r="B32" s="3"/>
      <c r="C32" s="3"/>
    </row>
    <row r="33" ht="15.75" customHeight="1">
      <c r="A33" s="3"/>
      <c r="B33" s="3"/>
      <c r="C33" s="3"/>
    </row>
    <row r="34" ht="15.75" customHeight="1">
      <c r="A34" s="3"/>
      <c r="B34" s="3"/>
      <c r="C34" s="3"/>
    </row>
    <row r="35" ht="15.75" customHeight="1">
      <c r="A35" s="3"/>
      <c r="B35" s="3"/>
      <c r="C35" s="3"/>
    </row>
    <row r="36" ht="15.75" customHeight="1">
      <c r="A36" s="3"/>
      <c r="B36" s="3"/>
      <c r="C36" s="3"/>
    </row>
    <row r="37" ht="15.75" customHeight="1">
      <c r="A37" s="3"/>
      <c r="B37" s="3"/>
      <c r="C37" s="3"/>
    </row>
    <row r="38" ht="15.75" customHeight="1">
      <c r="A38" s="3"/>
      <c r="B38" s="3"/>
      <c r="C38" s="3"/>
    </row>
    <row r="39" ht="15.75" customHeight="1">
      <c r="A39" s="3"/>
      <c r="B39" s="3"/>
      <c r="C39" s="3"/>
    </row>
    <row r="40" ht="15.75" customHeight="1">
      <c r="A40" s="3"/>
      <c r="B40" s="3"/>
      <c r="C40" s="3"/>
    </row>
    <row r="41" ht="15.75" customHeight="1">
      <c r="A41" s="3"/>
      <c r="B41" s="3"/>
      <c r="C41" s="3"/>
    </row>
    <row r="42" ht="15.75" customHeight="1">
      <c r="A42" s="3"/>
      <c r="B42" s="3"/>
      <c r="C42" s="3"/>
    </row>
    <row r="43" ht="15.75" customHeight="1">
      <c r="A43" s="3"/>
      <c r="B43" s="3"/>
      <c r="C43" s="3"/>
    </row>
    <row r="44" ht="15.75" customHeight="1">
      <c r="A44" s="3"/>
      <c r="B44" s="3"/>
      <c r="C44" s="3"/>
    </row>
    <row r="45" ht="15.75" customHeight="1">
      <c r="A45" s="3"/>
      <c r="B45" s="3"/>
      <c r="C45" s="3"/>
    </row>
    <row r="46" ht="15.75" customHeight="1">
      <c r="A46" s="3"/>
      <c r="B46" s="3"/>
      <c r="C46" s="3"/>
    </row>
    <row r="47" ht="15.75" customHeight="1">
      <c r="A47" s="3"/>
      <c r="B47" s="3"/>
      <c r="C47" s="3"/>
    </row>
    <row r="48" ht="15.75" customHeight="1">
      <c r="A48" s="3"/>
      <c r="B48" s="3"/>
      <c r="C48" s="3"/>
    </row>
    <row r="49" ht="15.75" customHeight="1">
      <c r="A49" s="3"/>
      <c r="B49" s="3"/>
      <c r="C49" s="3"/>
    </row>
    <row r="50" ht="15.75" customHeight="1">
      <c r="A50" s="3"/>
      <c r="B50" s="3"/>
      <c r="C50" s="3"/>
    </row>
    <row r="51" ht="15.75" customHeight="1">
      <c r="A51" s="3"/>
      <c r="B51" s="3"/>
      <c r="C51" s="3"/>
    </row>
    <row r="52" ht="15.75" customHeight="1">
      <c r="A52" s="3"/>
      <c r="B52" s="3"/>
      <c r="C52" s="3"/>
    </row>
    <row r="53" ht="15.75" customHeight="1">
      <c r="A53" s="3"/>
      <c r="B53" s="3"/>
      <c r="C53" s="3"/>
    </row>
    <row r="54" ht="15.75" customHeight="1">
      <c r="A54" s="3"/>
      <c r="B54" s="3"/>
      <c r="C54" s="3"/>
    </row>
    <row r="55" ht="15.75" customHeight="1">
      <c r="A55" s="3"/>
      <c r="B55" s="3"/>
      <c r="C55" s="3"/>
    </row>
    <row r="56" ht="15.75" customHeight="1">
      <c r="A56" s="3"/>
      <c r="B56" s="3"/>
      <c r="C56" s="3"/>
    </row>
    <row r="57" ht="15.75" customHeight="1">
      <c r="A57" s="3"/>
      <c r="B57" s="3"/>
      <c r="C57" s="3"/>
    </row>
    <row r="58" ht="15.75" customHeight="1">
      <c r="A58" s="3"/>
      <c r="B58" s="3"/>
      <c r="C58" s="3"/>
    </row>
    <row r="59" ht="15.75" customHeight="1">
      <c r="A59" s="3"/>
      <c r="B59" s="3"/>
      <c r="C59" s="3"/>
    </row>
    <row r="60" ht="15.75" customHeight="1">
      <c r="A60" s="3"/>
      <c r="B60" s="3"/>
      <c r="C60" s="3"/>
    </row>
    <row r="61" ht="15.75" customHeight="1">
      <c r="A61" s="3"/>
      <c r="B61" s="3"/>
      <c r="C61" s="3"/>
    </row>
    <row r="62" ht="15.75" customHeight="1">
      <c r="A62" s="3"/>
      <c r="B62" s="3"/>
      <c r="C62" s="3"/>
    </row>
    <row r="63" ht="15.75" customHeight="1">
      <c r="A63" s="3"/>
      <c r="B63" s="3"/>
      <c r="C63" s="3"/>
    </row>
    <row r="64" ht="15.75" customHeight="1">
      <c r="A64" s="3"/>
      <c r="B64" s="3"/>
      <c r="C64" s="3"/>
    </row>
    <row r="65" ht="15.75" customHeight="1">
      <c r="A65" s="3"/>
      <c r="B65" s="3"/>
      <c r="C65" s="3"/>
    </row>
    <row r="66" ht="15.75" customHeight="1">
      <c r="A66" s="3"/>
      <c r="B66" s="3"/>
      <c r="C66" s="3"/>
    </row>
    <row r="67" ht="15.75" customHeight="1">
      <c r="A67" s="3"/>
      <c r="B67" s="3"/>
      <c r="C67" s="3"/>
    </row>
    <row r="68" ht="15.75" customHeight="1">
      <c r="A68" s="3"/>
      <c r="B68" s="3"/>
      <c r="C68" s="3"/>
    </row>
    <row r="69" ht="15.75" customHeight="1">
      <c r="A69" s="3"/>
      <c r="B69" s="3"/>
      <c r="C69" s="3"/>
    </row>
    <row r="70" ht="15.75" customHeight="1">
      <c r="A70" s="3"/>
      <c r="B70" s="3"/>
      <c r="C70" s="3"/>
    </row>
    <row r="71" ht="15.75" customHeight="1">
      <c r="A71" s="3"/>
      <c r="B71" s="3"/>
      <c r="C71" s="3"/>
    </row>
    <row r="72" ht="15.75" customHeight="1">
      <c r="A72" s="3"/>
      <c r="B72" s="3"/>
      <c r="C72" s="3"/>
    </row>
    <row r="73" ht="15.75" customHeight="1">
      <c r="A73" s="3"/>
      <c r="B73" s="3"/>
      <c r="C73" s="3"/>
    </row>
    <row r="74" ht="15.75" customHeight="1">
      <c r="A74" s="3"/>
      <c r="B74" s="3"/>
      <c r="C74" s="3"/>
    </row>
    <row r="75" ht="15.75" customHeight="1">
      <c r="A75" s="3"/>
      <c r="B75" s="3"/>
      <c r="C75" s="3"/>
    </row>
    <row r="76" ht="15.75" customHeight="1">
      <c r="A76" s="3"/>
      <c r="B76" s="3"/>
      <c r="C76" s="3"/>
    </row>
    <row r="77" ht="15.75" customHeight="1">
      <c r="A77" s="3"/>
      <c r="B77" s="3"/>
      <c r="C77" s="3"/>
    </row>
    <row r="78" ht="15.75" customHeight="1">
      <c r="A78" s="3"/>
      <c r="B78" s="3"/>
      <c r="C78" s="3"/>
    </row>
    <row r="79" ht="15.75" customHeight="1">
      <c r="A79" s="3"/>
      <c r="B79" s="3"/>
      <c r="C79" s="3"/>
    </row>
    <row r="80" ht="15.75" customHeight="1">
      <c r="A80" s="3"/>
      <c r="B80" s="3"/>
      <c r="C80" s="3"/>
    </row>
    <row r="81" ht="15.75" customHeight="1">
      <c r="A81" s="3"/>
      <c r="B81" s="3"/>
      <c r="C81" s="3"/>
    </row>
    <row r="82" ht="15.75" customHeight="1">
      <c r="A82" s="3"/>
      <c r="B82" s="3"/>
      <c r="C82" s="3"/>
    </row>
    <row r="83" ht="15.75" customHeight="1">
      <c r="A83" s="3"/>
      <c r="B83" s="3"/>
      <c r="C83" s="3"/>
    </row>
    <row r="84" ht="15.75" customHeight="1">
      <c r="A84" s="3"/>
      <c r="B84" s="3"/>
      <c r="C84" s="3"/>
    </row>
    <row r="85" ht="15.75" customHeight="1">
      <c r="A85" s="3"/>
      <c r="B85" s="3"/>
      <c r="C85" s="3"/>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21:C21"/>
    <mergeCell ref="A23:C23"/>
    <mergeCell ref="A24:C24"/>
    <mergeCell ref="A26:C26"/>
    <mergeCell ref="A27:C27"/>
    <mergeCell ref="A2:C2"/>
    <mergeCell ref="A13:C13"/>
    <mergeCell ref="A14:C14"/>
    <mergeCell ref="A15:C15"/>
    <mergeCell ref="A17:C17"/>
    <mergeCell ref="A18:C18"/>
    <mergeCell ref="A20:C20"/>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3.57"/>
    <col customWidth="1" min="2" max="2" width="30.0"/>
    <col customWidth="1" min="3" max="3" width="80.0"/>
    <col customWidth="1" min="4" max="4" width="40.0"/>
    <col customWidth="1" min="5" max="6" width="8.71"/>
  </cols>
  <sheetData>
    <row r="1" ht="17.25" customHeight="1">
      <c r="A1" s="1" t="s">
        <v>446</v>
      </c>
      <c r="B1" s="3"/>
      <c r="C1" s="3"/>
      <c r="D1" s="3"/>
    </row>
    <row r="2" ht="15.0" customHeight="1">
      <c r="A2" s="5" t="s">
        <v>447</v>
      </c>
      <c r="B2" s="3"/>
      <c r="C2" s="3"/>
      <c r="D2" s="3"/>
    </row>
    <row r="3">
      <c r="A3" s="3"/>
      <c r="B3" s="3"/>
      <c r="C3" s="3"/>
      <c r="D3" s="3"/>
    </row>
    <row r="4" ht="15.0" customHeight="1">
      <c r="A4" s="9" t="s">
        <v>449</v>
      </c>
      <c r="B4" s="9" t="s">
        <v>450</v>
      </c>
      <c r="C4" s="9" t="s">
        <v>451</v>
      </c>
      <c r="D4" s="9" t="s">
        <v>452</v>
      </c>
    </row>
    <row r="5" ht="15.0" customHeight="1">
      <c r="A5" s="34" t="s">
        <v>453</v>
      </c>
      <c r="B5" s="3">
        <v>10.0</v>
      </c>
      <c r="C5" s="50" t="s">
        <v>454</v>
      </c>
      <c r="D5" s="51"/>
    </row>
    <row r="6" ht="35.25" customHeight="1">
      <c r="A6" s="34" t="s">
        <v>455</v>
      </c>
      <c r="B6" s="3">
        <v>15.0</v>
      </c>
      <c r="C6" s="50" t="s">
        <v>456</v>
      </c>
      <c r="D6" s="51"/>
    </row>
    <row r="7" ht="30.0" customHeight="1">
      <c r="A7" s="34" t="s">
        <v>457</v>
      </c>
      <c r="B7" s="3">
        <v>15.0</v>
      </c>
      <c r="C7" s="50" t="s">
        <v>458</v>
      </c>
      <c r="D7" s="51"/>
    </row>
    <row r="8" ht="30.75" customHeight="1">
      <c r="A8" s="34" t="s">
        <v>459</v>
      </c>
      <c r="B8" s="3">
        <v>20.0</v>
      </c>
      <c r="C8" s="50" t="s">
        <v>460</v>
      </c>
      <c r="D8" s="51"/>
    </row>
    <row r="9" ht="15.0" customHeight="1">
      <c r="A9" s="34" t="s">
        <v>461</v>
      </c>
      <c r="B9" s="3">
        <v>20.0</v>
      </c>
      <c r="C9" s="50" t="s">
        <v>462</v>
      </c>
      <c r="D9" s="51"/>
    </row>
    <row r="10" ht="32.25" customHeight="1">
      <c r="A10" s="34" t="s">
        <v>463</v>
      </c>
      <c r="B10" s="3">
        <v>20.0</v>
      </c>
      <c r="C10" s="50" t="s">
        <v>464</v>
      </c>
      <c r="D10" s="51"/>
    </row>
    <row r="11" ht="15.0" customHeight="1">
      <c r="A11" s="12" t="s">
        <v>465</v>
      </c>
      <c r="B11" s="3">
        <f>SUM(B5:B10)</f>
        <v>100</v>
      </c>
      <c r="C11" s="3"/>
      <c r="D11" s="39">
        <f>SUM(D5:D10)</f>
        <v>0</v>
      </c>
    </row>
    <row r="12" ht="29.25" customHeight="1">
      <c r="A12" s="87" t="s">
        <v>466</v>
      </c>
      <c r="B12" s="3" t="s">
        <v>467</v>
      </c>
      <c r="C12" s="3" t="s">
        <v>468</v>
      </c>
      <c r="D12" s="51"/>
    </row>
    <row r="13">
      <c r="A13" s="3"/>
      <c r="B13" s="3"/>
      <c r="C13" s="3"/>
      <c r="D13" s="3"/>
    </row>
    <row r="14">
      <c r="A14" s="3"/>
      <c r="B14" s="3"/>
      <c r="C14" s="3"/>
      <c r="D14" s="3"/>
    </row>
    <row r="15" ht="15.0" customHeight="1">
      <c r="A15" s="88" t="s">
        <v>469</v>
      </c>
      <c r="B15" s="3"/>
      <c r="C15" s="3"/>
      <c r="D15" s="3"/>
    </row>
    <row r="16" ht="15.0" customHeight="1">
      <c r="A16" s="9" t="s">
        <v>449</v>
      </c>
      <c r="B16" s="9" t="s">
        <v>470</v>
      </c>
      <c r="C16" s="9" t="s">
        <v>471</v>
      </c>
      <c r="D16" s="9" t="s">
        <v>472</v>
      </c>
    </row>
    <row r="17" ht="45.75" customHeight="1">
      <c r="A17" s="33" t="s">
        <v>473</v>
      </c>
      <c r="B17" s="50" t="s">
        <v>474</v>
      </c>
      <c r="C17" s="50" t="s">
        <v>475</v>
      </c>
      <c r="D17" s="50" t="s">
        <v>476</v>
      </c>
    </row>
    <row r="18" ht="45.75" customHeight="1">
      <c r="A18" s="33" t="s">
        <v>477</v>
      </c>
      <c r="B18" s="50" t="s">
        <v>478</v>
      </c>
      <c r="C18" s="50" t="s">
        <v>479</v>
      </c>
      <c r="D18" s="50" t="s">
        <v>480</v>
      </c>
    </row>
    <row r="19" ht="45.75" customHeight="1">
      <c r="A19" s="33" t="s">
        <v>481</v>
      </c>
      <c r="B19" s="50" t="s">
        <v>482</v>
      </c>
      <c r="C19" s="50" t="s">
        <v>483</v>
      </c>
      <c r="D19" s="50" t="s">
        <v>484</v>
      </c>
    </row>
    <row r="20" ht="45.75" customHeight="1">
      <c r="A20" s="33" t="s">
        <v>485</v>
      </c>
      <c r="B20" s="50" t="s">
        <v>486</v>
      </c>
      <c r="C20" s="50" t="s">
        <v>487</v>
      </c>
      <c r="D20" s="50" t="s">
        <v>488</v>
      </c>
    </row>
    <row r="21" ht="15.75" customHeight="1">
      <c r="A21" s="3"/>
      <c r="B21" s="3"/>
      <c r="C21" s="3"/>
      <c r="D21" s="3"/>
    </row>
    <row r="22" ht="15.0" customHeight="1">
      <c r="A22" s="42" t="s">
        <v>489</v>
      </c>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22.0"/>
    <col customWidth="1" min="4" max="4" width="70.0"/>
    <col customWidth="1" min="5" max="5" width="48.0"/>
    <col customWidth="1" min="6" max="6" width="8.71"/>
  </cols>
  <sheetData>
    <row r="1" ht="15.0" customHeight="1">
      <c r="A1" s="88" t="s">
        <v>491</v>
      </c>
      <c r="B1" s="3"/>
      <c r="C1" s="3"/>
      <c r="D1" s="3"/>
      <c r="E1" s="3"/>
    </row>
    <row r="2" ht="15.0" customHeight="1">
      <c r="A2" s="42" t="s">
        <v>492</v>
      </c>
      <c r="B2" s="3"/>
      <c r="C2" s="3"/>
      <c r="D2" s="3"/>
      <c r="E2" s="3"/>
    </row>
    <row r="3">
      <c r="A3" s="3"/>
      <c r="B3" s="3"/>
      <c r="C3" s="3"/>
      <c r="D3" s="3"/>
      <c r="E3" s="3"/>
    </row>
    <row r="4" ht="27.75" customHeight="1">
      <c r="A4" s="9" t="s">
        <v>493</v>
      </c>
      <c r="B4" s="9" t="s">
        <v>494</v>
      </c>
      <c r="C4" s="9" t="s">
        <v>496</v>
      </c>
      <c r="D4" s="9" t="s">
        <v>497</v>
      </c>
      <c r="E4" s="9" t="s">
        <v>41</v>
      </c>
    </row>
    <row r="5" ht="15.0" customHeight="1">
      <c r="A5" s="3" t="s">
        <v>498</v>
      </c>
      <c r="B5" s="89">
        <v>0.1</v>
      </c>
      <c r="C5" s="89">
        <v>0.5</v>
      </c>
      <c r="D5" s="3" t="s">
        <v>499</v>
      </c>
      <c r="E5" s="3" t="s">
        <v>500</v>
      </c>
    </row>
    <row r="6" ht="15.0" customHeight="1">
      <c r="A6" s="3" t="s">
        <v>501</v>
      </c>
      <c r="B6" s="89">
        <v>2.0</v>
      </c>
      <c r="C6" s="89">
        <v>10.0</v>
      </c>
      <c r="D6" s="3" t="s">
        <v>502</v>
      </c>
      <c r="E6" s="3" t="s">
        <v>503</v>
      </c>
    </row>
    <row r="7" ht="15.0" customHeight="1">
      <c r="A7" s="3" t="s">
        <v>504</v>
      </c>
      <c r="B7" s="89">
        <v>1.0</v>
      </c>
      <c r="C7" s="89">
        <v>5.0</v>
      </c>
      <c r="D7" s="3" t="s">
        <v>505</v>
      </c>
      <c r="E7" s="3"/>
    </row>
    <row r="8" ht="15.0" customHeight="1">
      <c r="A8" s="3" t="s">
        <v>506</v>
      </c>
      <c r="B8" s="89">
        <v>2.0</v>
      </c>
      <c r="C8" s="89">
        <v>10.0</v>
      </c>
      <c r="D8" s="3" t="s">
        <v>505</v>
      </c>
      <c r="E8" s="3" t="s">
        <v>507</v>
      </c>
    </row>
    <row r="9">
      <c r="A9" s="3"/>
      <c r="B9" s="3"/>
      <c r="C9" s="3"/>
      <c r="D9" s="3"/>
      <c r="E9" s="3"/>
    </row>
    <row r="10">
      <c r="A10" s="3"/>
      <c r="B10" s="3"/>
      <c r="C10" s="3"/>
      <c r="D10" s="3"/>
      <c r="E10" s="3"/>
    </row>
    <row r="11" ht="15.0" customHeight="1">
      <c r="A11" s="9" t="s">
        <v>508</v>
      </c>
      <c r="B11" s="9" t="s">
        <v>20</v>
      </c>
      <c r="C11" s="9" t="s">
        <v>22</v>
      </c>
      <c r="D11" s="9" t="s">
        <v>509</v>
      </c>
      <c r="E11" s="9" t="s">
        <v>41</v>
      </c>
    </row>
    <row r="12" ht="15.0" customHeight="1">
      <c r="A12" s="3" t="s">
        <v>510</v>
      </c>
      <c r="B12" s="90">
        <v>26170.0</v>
      </c>
      <c r="C12" s="3" t="s">
        <v>115</v>
      </c>
      <c r="D12" s="3" t="s">
        <v>511</v>
      </c>
      <c r="E12" s="3" t="s">
        <v>512</v>
      </c>
    </row>
    <row r="13" ht="15.0" customHeight="1">
      <c r="A13" s="3" t="s">
        <v>513</v>
      </c>
      <c r="B13" s="90">
        <v>25636.0</v>
      </c>
      <c r="C13" s="3" t="s">
        <v>115</v>
      </c>
      <c r="D13" s="3" t="s">
        <v>514</v>
      </c>
      <c r="E13" s="3" t="s">
        <v>515</v>
      </c>
    </row>
    <row r="14" ht="15.0" customHeight="1">
      <c r="A14" s="3" t="s">
        <v>516</v>
      </c>
      <c r="B14" s="90">
        <v>5310000.0</v>
      </c>
      <c r="C14" s="3" t="s">
        <v>251</v>
      </c>
      <c r="D14" s="3" t="s">
        <v>517</v>
      </c>
      <c r="E14" s="3" t="s">
        <v>518</v>
      </c>
    </row>
    <row r="15" ht="15.0" customHeight="1">
      <c r="A15" s="3" t="s">
        <v>519</v>
      </c>
      <c r="B15" s="90">
        <v>25500.0</v>
      </c>
      <c r="C15" s="3" t="s">
        <v>139</v>
      </c>
      <c r="D15" s="3" t="s">
        <v>517</v>
      </c>
      <c r="E15" s="3" t="s">
        <v>520</v>
      </c>
    </row>
    <row r="16">
      <c r="A16" s="3"/>
      <c r="B16" s="3"/>
      <c r="C16" s="3"/>
      <c r="D16" s="3"/>
      <c r="E16" s="3"/>
    </row>
    <row r="17">
      <c r="A17" s="3"/>
      <c r="B17" s="3"/>
      <c r="C17" s="3"/>
      <c r="D17" s="3"/>
      <c r="E17" s="3"/>
    </row>
    <row r="18" ht="15.0" customHeight="1">
      <c r="A18" s="9" t="s">
        <v>521</v>
      </c>
      <c r="B18" s="9" t="s">
        <v>522</v>
      </c>
      <c r="C18" s="3"/>
      <c r="D18" s="3"/>
      <c r="E18" s="3"/>
    </row>
    <row r="19" ht="48.0" customHeight="1">
      <c r="A19" s="50" t="s">
        <v>523</v>
      </c>
      <c r="B19" s="50" t="s">
        <v>524</v>
      </c>
    </row>
    <row r="20" ht="48.0" customHeight="1">
      <c r="A20" s="50" t="s">
        <v>525</v>
      </c>
      <c r="B20" s="50" t="s">
        <v>526</v>
      </c>
    </row>
    <row r="21" ht="48.0" customHeight="1">
      <c r="A21" s="50" t="s">
        <v>527</v>
      </c>
      <c r="B21" s="50" t="s">
        <v>528</v>
      </c>
    </row>
    <row r="22" ht="15.75" customHeight="1">
      <c r="A22" s="3"/>
      <c r="B22" s="3"/>
      <c r="C22" s="3"/>
      <c r="D22" s="3"/>
      <c r="E22" s="3"/>
    </row>
    <row r="23" ht="15.0" customHeight="1">
      <c r="A23" s="9" t="s">
        <v>529</v>
      </c>
      <c r="B23" s="9" t="s">
        <v>530</v>
      </c>
      <c r="C23" s="3"/>
      <c r="D23" s="3"/>
      <c r="E23" s="3"/>
    </row>
    <row r="24" ht="48.0" customHeight="1">
      <c r="A24" s="50" t="s">
        <v>531</v>
      </c>
      <c r="B24" s="50" t="s">
        <v>532</v>
      </c>
    </row>
    <row r="25" ht="48.0" customHeight="1">
      <c r="A25" s="50" t="s">
        <v>533</v>
      </c>
      <c r="B25" s="50" t="s">
        <v>534</v>
      </c>
    </row>
    <row r="26" ht="48.0" customHeight="1">
      <c r="A26" s="50" t="s">
        <v>535</v>
      </c>
      <c r="B26" s="50" t="s">
        <v>536</v>
      </c>
    </row>
    <row r="27" ht="48.0" customHeight="1">
      <c r="A27" s="50" t="s">
        <v>537</v>
      </c>
      <c r="B27" s="50" t="s">
        <v>538</v>
      </c>
    </row>
    <row r="28" ht="48.0" customHeight="1">
      <c r="A28" s="50" t="s">
        <v>539</v>
      </c>
      <c r="B28" s="50" t="s">
        <v>540</v>
      </c>
    </row>
    <row r="29" ht="15.75" customHeight="1">
      <c r="A29" s="3"/>
      <c r="B29" s="3"/>
      <c r="C29" s="3"/>
      <c r="D29" s="3"/>
      <c r="E29" s="3"/>
    </row>
    <row r="30" ht="15.75" customHeight="1">
      <c r="A30" s="3"/>
      <c r="B30" s="3"/>
      <c r="C30" s="3"/>
      <c r="D30" s="3"/>
      <c r="E30" s="3"/>
    </row>
    <row r="31" ht="15.75" customHeight="1">
      <c r="A31" s="3"/>
      <c r="B31" s="3"/>
      <c r="C31" s="3"/>
      <c r="D31" s="3"/>
      <c r="E31" s="3"/>
    </row>
    <row r="32" ht="15.75" customHeight="1">
      <c r="A32" s="3"/>
      <c r="B32" s="3"/>
      <c r="C32" s="3"/>
      <c r="D32" s="3"/>
      <c r="E32" s="3"/>
    </row>
    <row r="33" ht="15.75" customHeight="1">
      <c r="A33" s="3"/>
      <c r="B33" s="3"/>
      <c r="C33" s="3"/>
      <c r="D33" s="3"/>
      <c r="E33" s="3"/>
    </row>
    <row r="34" ht="15.75" customHeight="1">
      <c r="A34" s="3"/>
      <c r="B34" s="3"/>
      <c r="C34" s="3"/>
      <c r="D34" s="3"/>
      <c r="E34" s="3"/>
    </row>
    <row r="35" ht="15.75" customHeight="1">
      <c r="A35" s="3"/>
      <c r="B35" s="3"/>
      <c r="C35" s="3"/>
      <c r="D35" s="3"/>
      <c r="E35" s="3"/>
    </row>
    <row r="36" ht="15.75" customHeight="1">
      <c r="A36" s="3"/>
      <c r="B36" s="3"/>
      <c r="C36" s="3"/>
      <c r="D36" s="3"/>
      <c r="E36" s="3"/>
    </row>
    <row r="37" ht="15.75" customHeight="1">
      <c r="A37" s="3"/>
      <c r="B37" s="3"/>
      <c r="C37" s="3"/>
      <c r="D37" s="3"/>
      <c r="E37" s="3"/>
    </row>
    <row r="38" ht="15.75" customHeight="1">
      <c r="A38" s="3"/>
      <c r="B38" s="3"/>
      <c r="C38" s="3"/>
      <c r="D38" s="3"/>
      <c r="E38" s="3"/>
    </row>
    <row r="39" ht="15.75" customHeight="1">
      <c r="A39" s="3"/>
      <c r="B39" s="3"/>
      <c r="C39" s="3"/>
      <c r="D39" s="3"/>
      <c r="E39" s="3"/>
    </row>
    <row r="40" ht="15.75" customHeight="1">
      <c r="A40" s="3"/>
      <c r="B40" s="3"/>
      <c r="C40" s="3"/>
      <c r="D40" s="3"/>
      <c r="E40" s="3"/>
    </row>
    <row r="41" ht="15.75" customHeight="1">
      <c r="A41" s="3"/>
      <c r="B41" s="3"/>
      <c r="C41" s="3"/>
      <c r="D41" s="3"/>
      <c r="E41" s="3"/>
    </row>
    <row r="42" ht="15.75" customHeight="1">
      <c r="A42" s="3"/>
      <c r="B42" s="3"/>
      <c r="C42" s="3"/>
      <c r="D42" s="3"/>
      <c r="E42" s="3"/>
    </row>
    <row r="43" ht="15.75" customHeight="1">
      <c r="A43" s="3"/>
      <c r="B43" s="3"/>
      <c r="C43" s="3"/>
      <c r="D43" s="3"/>
      <c r="E43" s="3"/>
    </row>
    <row r="44" ht="15.75" customHeight="1">
      <c r="A44" s="3"/>
      <c r="B44" s="3"/>
      <c r="C44" s="3"/>
      <c r="D44" s="3"/>
      <c r="E44" s="3"/>
    </row>
    <row r="45" ht="15.75" customHeight="1">
      <c r="A45" s="3"/>
      <c r="B45" s="3"/>
      <c r="C45" s="3"/>
      <c r="D45" s="3"/>
      <c r="E45" s="3"/>
    </row>
    <row r="46" ht="15.75" customHeight="1">
      <c r="A46" s="3"/>
      <c r="B46" s="3"/>
      <c r="C46" s="3"/>
      <c r="D46" s="3"/>
      <c r="E46" s="3"/>
    </row>
    <row r="47" ht="15.75" customHeight="1">
      <c r="A47" s="3"/>
      <c r="B47" s="3"/>
      <c r="C47" s="3"/>
      <c r="D47" s="3"/>
      <c r="E47" s="3"/>
    </row>
    <row r="48" ht="15.75" customHeight="1">
      <c r="A48" s="3"/>
      <c r="B48" s="3"/>
      <c r="C48" s="3"/>
      <c r="D48" s="3"/>
      <c r="E48" s="3"/>
    </row>
    <row r="49" ht="15.75" customHeight="1">
      <c r="A49" s="3"/>
      <c r="B49" s="3"/>
      <c r="C49" s="3"/>
      <c r="D49" s="3"/>
      <c r="E49" s="3"/>
    </row>
    <row r="50" ht="15.75" customHeight="1">
      <c r="A50" s="3"/>
      <c r="B50" s="3"/>
      <c r="C50" s="3"/>
      <c r="D50" s="3"/>
      <c r="E50" s="3"/>
    </row>
    <row r="51" ht="15.75" customHeight="1">
      <c r="A51" s="3"/>
      <c r="B51" s="3"/>
      <c r="C51" s="3"/>
      <c r="D51" s="3"/>
      <c r="E51" s="3"/>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9:E19"/>
    <mergeCell ref="B20:E20"/>
    <mergeCell ref="B21:E21"/>
    <mergeCell ref="B24:E24"/>
    <mergeCell ref="B25:E25"/>
    <mergeCell ref="B26:E26"/>
    <mergeCell ref="B27:E27"/>
    <mergeCell ref="B28:E28"/>
  </mergeCells>
  <printOptions/>
  <pageMargins bottom="1.0" footer="0.0" header="0.0" left="0.75" right="0.75" top="1.0"/>
  <pageSetup paperSize="9" orientation="portrait"/>
  <drawing r:id="rId1"/>
</worksheet>
</file>